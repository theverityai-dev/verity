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dule-wise Pricing" sheetId="2" state="visible" r:id="rId2"/>
    <sheet xmlns:r="http://schemas.openxmlformats.org/officeDocument/2006/relationships" name="Shared &amp; Add-ons" sheetId="3" state="visible" r:id="rId3"/>
    <sheet xmlns:r="http://schemas.openxmlformats.org/officeDocument/2006/relationships" name="Scope &amp; Assumptions" sheetId="4" state="visible" r:id="rId4"/>
    <sheet xmlns:r="http://schemas.openxmlformats.org/officeDocument/2006/relationships" name="Payment &amp; Recurring" sheetId="5" state="visible" r:id="rId5"/>
  </sheets>
  <definedNames>
    <definedName name="_xlnm._FilterDatabase" localSheetId="1" hidden="1">'Module-wise Pricing'!$A$4:$G$23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i val="1"/>
      <color rgb="005B6573"/>
      <sz val="10"/>
    </font>
    <font>
      <b val="1"/>
      <color rgb="00FFFFFF"/>
    </font>
    <font>
      <b val="1"/>
      <color rgb="0017324D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2F0D9"/>
      </patternFill>
    </fill>
    <fill>
      <patternFill patternType="solid">
        <fgColor rgb="00DCEBFA"/>
      </patternFill>
    </fill>
    <fill>
      <patternFill patternType="solid">
        <fgColor rgb="00F3F6FA"/>
      </patternFill>
    </fill>
  </fills>
  <borders count="3">
    <border>
      <left/>
      <right/>
      <top/>
      <bottom/>
      <diagonal/>
    </border>
    <border>
      <bottom style="thin">
        <color rgb="00D8DEE8"/>
      </bottom>
    </border>
    <border>
      <top style="thin">
        <color rgb="00D8DEE8"/>
      </top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3" fillId="2" borderId="2" pivotButton="0" quotePrefix="0" xfId="0"/>
    <xf numFmtId="164" fontId="3" fillId="2" borderId="2" pivotButton="0" quotePrefix="0" xfId="0"/>
    <xf numFmtId="0" fontId="3" fillId="2" borderId="0" pivotButton="0" quotePrefix="0" xfId="0"/>
    <xf numFmtId="164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C6" authorId="0" shapeId="0">
      <text>
        <t>Bundled pre-GST allocation designed to land at ₹5,00,000 inclusive of assumed 18% GST.</t>
      </text>
    </comment>
    <comment ref="C7" authorId="0" shapeId="0">
      <text>
        <t>Bundled pre-GST allocation designed to land at ₹7,50,000 inclusive of assumed 18% GST.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D4" authorId="0" shapeId="0">
      <text>
        <t>Standalone reference prices are illustrative module-level prices and are not additive to the bundled option totals.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0" customWidth="1" min="3" max="3"/>
    <col width="18" customWidth="1" min="4" max="4"/>
    <col width="22" customWidth="1" min="5" max="5"/>
    <col width="54" customWidth="1" min="6" max="6"/>
  </cols>
  <sheetData>
    <row r="1" ht="32" customHeight="1">
      <c r="A1" s="1" t="inlineStr">
        <is>
          <t>VERITY | DSEW ERP IMPLEMENTATION PRICING</t>
        </is>
      </c>
    </row>
    <row r="2" ht="30" customHeight="1">
      <c r="A2" s="2" t="inlineStr">
        <is>
          <t>D &amp; S Electric Works, Indore • Detailed budgetary quote • INR • GST assumed at 18% • October 2026</t>
        </is>
      </c>
    </row>
    <row r="3"/>
    <row r="4">
      <c r="A4" s="3" t="inlineStr">
        <is>
          <t>Package</t>
        </is>
      </c>
      <c r="B4" s="3" t="inlineStr">
        <is>
          <t>Positioning</t>
        </is>
      </c>
      <c r="C4" s="3" t="inlineStr">
        <is>
          <t>Price before GST</t>
        </is>
      </c>
      <c r="D4" s="3" t="inlineStr">
        <is>
          <t>GST @ 18%</t>
        </is>
      </c>
      <c r="E4" s="3" t="inlineStr">
        <is>
          <t>Total incl. GST</t>
        </is>
      </c>
      <c r="F4" s="3" t="inlineStr">
        <is>
          <t>Commercial note</t>
        </is>
      </c>
    </row>
    <row r="5">
      <c r="A5" s="4" t="inlineStr">
        <is>
          <t>Option A — Phase 1</t>
        </is>
      </c>
      <c r="B5" s="4" t="inlineStr">
        <is>
          <t>Bounded first release</t>
        </is>
      </c>
      <c r="C5" s="5" t="n">
        <v>400000</v>
      </c>
      <c r="D5" s="5">
        <f>C5*18%</f>
        <v/>
      </c>
      <c r="E5" s="5">
        <f>C5+D5</f>
        <v/>
      </c>
      <c r="F5" s="4" t="inlineStr">
        <is>
          <t>Phase 1 scope previously discussed; quote remains subject to signed scope</t>
        </is>
      </c>
    </row>
    <row r="6">
      <c r="A6" s="6" t="inlineStr">
        <is>
          <t>Option B — Complete Core ERP</t>
        </is>
      </c>
      <c r="B6" s="4" t="inlineStr">
        <is>
          <t>All 19 modules at bounded core depth</t>
        </is>
      </c>
      <c r="C6" s="5" t="n">
        <v>423729</v>
      </c>
      <c r="D6" s="5">
        <f>ROUND(C6*18%,0)</f>
        <v/>
      </c>
      <c r="E6" s="7">
        <f>C6+D6</f>
        <v/>
      </c>
      <c r="F6" s="4" t="inlineStr">
        <is>
          <t>Target total: ₹5,00,000 inclusive of GST</t>
        </is>
      </c>
    </row>
    <row r="7">
      <c r="A7" s="8" t="inlineStr">
        <is>
          <t>Option C — Advanced Manufacturing ERP</t>
        </is>
      </c>
      <c r="B7" s="4" t="inlineStr">
        <is>
          <t>Expanded manufacturing controls + limited AI pilot</t>
        </is>
      </c>
      <c r="C7" s="5" t="n">
        <v>635593</v>
      </c>
      <c r="D7" s="5">
        <f>ROUND(C7*18%,0)</f>
        <v/>
      </c>
      <c r="E7" s="9">
        <f>C7+D7</f>
        <v/>
      </c>
      <c r="F7" s="4" t="inlineStr">
        <is>
          <t>Target total: ₹7,50,000 inclusive of GST</t>
        </is>
      </c>
    </row>
    <row r="8"/>
    <row r="9">
      <c r="A9" s="10" t="inlineStr">
        <is>
          <t>Pricing basis</t>
        </is>
      </c>
      <c r="B9" s="11" t="inlineStr">
        <is>
          <t>Option B is priced at ₹4,23,729 before GST; Option C at ₹6,35,593 before GST. Rounding is used to land on the exact commercial totals.</t>
        </is>
      </c>
    </row>
    <row r="10" ht="52" customHeight="1">
      <c r="A10" s="10" t="inlineStr">
        <is>
          <t>Important scope note</t>
        </is>
      </c>
      <c r="B10" s="12" t="inlineStr">
        <is>
          <t>These are fixed-price budget allocations for the stated bounded scope, not a promise of unlimited depth in every module. Module scope, acceptance criteria, data volumes, product families, integrations and exclusions must be signed off before kickoff.</t>
        </is>
      </c>
    </row>
  </sheetData>
  <mergeCells count="4">
    <mergeCell ref="A2:F2"/>
    <mergeCell ref="B10:F10"/>
    <mergeCell ref="A1:F1"/>
    <mergeCell ref="B9:F9"/>
  </mergeCells>
  <pageMargins left="0.25" right="0.25" top="0.5" bottom="0.5" header="0.5" footer="0.5"/>
  <pageSetup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9" customWidth="1" min="2" max="2"/>
    <col width="58" customWidth="1" min="3" max="3"/>
    <col width="24" customWidth="1" min="4" max="4"/>
    <col width="25" customWidth="1" min="5" max="5"/>
    <col width="25" customWidth="1" min="6" max="6"/>
    <col width="54" customWidth="1" min="7" max="7"/>
  </cols>
  <sheetData>
    <row r="1" ht="32" customHeight="1">
      <c r="A1" s="1" t="inlineStr">
        <is>
          <t>MODULE-WISE PRICING</t>
        </is>
      </c>
    </row>
    <row r="2" ht="30" customHeight="1">
      <c r="A2" s="2" t="inlineStr">
        <is>
          <t>Standalone reference prices are indicative; Option B and C columns are discounted bundle allocations that reconcile to the package totals.</t>
        </is>
      </c>
    </row>
    <row r="3"/>
    <row r="4">
      <c r="A4" s="3" t="inlineStr">
        <is>
          <t>#</t>
        </is>
      </c>
      <c r="B4" s="3" t="inlineStr">
        <is>
          <t>Module</t>
        </is>
      </c>
      <c r="C4" s="3" t="inlineStr">
        <is>
          <t>Scope summary</t>
        </is>
      </c>
      <c r="D4" s="3" t="inlineStr">
        <is>
          <t>Standalone reference price</t>
        </is>
      </c>
      <c r="E4" s="3" t="inlineStr">
        <is>
          <t>Option B allocation (pre-GST)</t>
        </is>
      </c>
      <c r="F4" s="3" t="inlineStr">
        <is>
          <t>Option C allocation (pre-GST)</t>
        </is>
      </c>
      <c r="G4" s="3" t="inlineStr">
        <is>
          <t>Option C incremental scope</t>
        </is>
      </c>
    </row>
    <row r="5">
      <c r="A5" s="4" t="n">
        <v>1</v>
      </c>
      <c r="B5" s="4" t="inlineStr">
        <is>
          <t>CRM</t>
        </is>
      </c>
      <c r="C5" s="4" t="inlineStr">
        <is>
          <t>Customers, contacts, leads, enquiry history and follow-ups</t>
        </is>
      </c>
      <c r="D5" s="5" t="n">
        <v>35000</v>
      </c>
      <c r="E5" s="5" t="n">
        <v>12000</v>
      </c>
      <c r="F5" s="5" t="n">
        <v>18000</v>
      </c>
      <c r="G5" s="4" t="inlineStr">
        <is>
          <t>Core pipeline; common customer and contact records.</t>
        </is>
      </c>
    </row>
    <row r="6">
      <c r="A6" s="13" t="n">
        <v>2</v>
      </c>
      <c r="B6" s="13" t="inlineStr">
        <is>
          <t>Projects &amp; Jobs</t>
        </is>
      </c>
      <c r="C6" s="13" t="inlineStr">
        <is>
          <t>Unique job IDs, owners, milestones, tasks, blockers and status history</t>
        </is>
      </c>
      <c r="D6" s="14" t="n">
        <v>50000</v>
      </c>
      <c r="E6" s="14" t="n">
        <v>18000</v>
      </c>
      <c r="F6" s="14" t="n">
        <v>26000</v>
      </c>
      <c r="G6" s="13" t="inlineStr">
        <is>
          <t>More detailed job milestones and status visibility.</t>
        </is>
      </c>
    </row>
    <row r="7">
      <c r="A7" s="4" t="n">
        <v>3</v>
      </c>
      <c r="B7" s="4" t="inlineStr">
        <is>
          <t>Enquiry &amp; Quotations</t>
        </is>
      </c>
      <c r="C7" s="4" t="inlineStr">
        <is>
          <t>Quotation creation, revisions, approval and order conversion</t>
        </is>
      </c>
      <c r="D7" s="5" t="n">
        <v>55000</v>
      </c>
      <c r="E7" s="5" t="n">
        <v>22000</v>
      </c>
      <c r="F7" s="5" t="n">
        <v>30000</v>
      </c>
      <c r="G7" s="4" t="inlineStr">
        <is>
          <t>Expanded quote approval and revision handling.</t>
        </is>
      </c>
    </row>
    <row r="8">
      <c r="A8" s="13" t="n">
        <v>4</v>
      </c>
      <c r="B8" s="13" t="inlineStr">
        <is>
          <t>Engineering &amp; BOM</t>
        </is>
      </c>
      <c r="C8" s="13" t="inlineStr">
        <is>
          <t>Component masters, BOMs, engineering changes and approved revisions</t>
        </is>
      </c>
      <c r="D8" s="14" t="n">
        <v>85000</v>
      </c>
      <c r="E8" s="14" t="n">
        <v>24000</v>
      </c>
      <c r="F8" s="14" t="n">
        <v>42000</v>
      </c>
      <c r="G8" s="13" t="inlineStr">
        <is>
          <t>Expanded revision controls; deeper BOM scope only as agreed.</t>
        </is>
      </c>
    </row>
    <row r="9">
      <c r="A9" s="4" t="n">
        <v>5</v>
      </c>
      <c r="B9" s="4" t="inlineStr">
        <is>
          <t>Document Management</t>
        </is>
      </c>
      <c r="C9" s="4" t="inlineStr">
        <is>
          <t>Controlled drawings/specifications, numbering, versions and permissions</t>
        </is>
      </c>
      <c r="D9" s="5" t="n">
        <v>55000</v>
      </c>
      <c r="E9" s="5" t="n">
        <v>18000</v>
      </c>
      <c r="F9" s="5" t="n">
        <v>28000</v>
      </c>
      <c r="G9" s="4" t="inlineStr">
        <is>
          <t>Stronger release controls and revision-linked records.</t>
        </is>
      </c>
    </row>
    <row r="10">
      <c r="A10" s="13" t="n">
        <v>6</v>
      </c>
      <c r="B10" s="13" t="inlineStr">
        <is>
          <t>Manufacturing Execution</t>
        </is>
      </c>
      <c r="C10" s="13" t="inlineStr">
        <is>
          <t>Production orders, routing, operation assignments, work progress, holds and rework</t>
        </is>
      </c>
      <c r="D10" s="14" t="n">
        <v>110000</v>
      </c>
      <c r="E10" s="14" t="n">
        <v>32000</v>
      </c>
      <c r="F10" s="14" t="n">
        <v>60000</v>
      </c>
      <c r="G10" s="13" t="inlineStr">
        <is>
          <t>Expanded routing, rework and production tracking.</t>
        </is>
      </c>
    </row>
    <row r="11">
      <c r="A11" s="4" t="n">
        <v>7</v>
      </c>
      <c r="B11" s="4" t="inlineStr">
        <is>
          <t>Manufacturing Traveler</t>
        </is>
      </c>
      <c r="C11" s="4" t="inlineStr">
        <is>
          <t>Job-specific operation sheets, instructions, completion and sign-offs</t>
        </is>
      </c>
      <c r="D11" s="5" t="n">
        <v>40000</v>
      </c>
      <c r="E11" s="5" t="n">
        <v>14000</v>
      </c>
      <c r="F11" s="5" t="n">
        <v>22000</v>
      </c>
      <c r="G11" s="4" t="inlineStr">
        <is>
          <t>More operation-level sign-offs and traveler coverage.</t>
        </is>
      </c>
    </row>
    <row r="12">
      <c r="A12" s="13" t="n">
        <v>8</v>
      </c>
      <c r="B12" s="13" t="inlineStr">
        <is>
          <t>Quality Management</t>
        </is>
      </c>
      <c r="C12" s="13" t="inlineStr">
        <is>
          <t>Inspection plans, acceptance criteria, non-conformance, corrective action and approval gates</t>
        </is>
      </c>
      <c r="D12" s="14" t="n">
        <v>70000</v>
      </c>
      <c r="E12" s="14" t="n">
        <v>20000</v>
      </c>
      <c r="F12" s="14" t="n">
        <v>36000</v>
      </c>
      <c r="G12" s="13" t="inlineStr">
        <is>
          <t>Expanded inspection plans and non-conformance workflows.</t>
        </is>
      </c>
    </row>
    <row r="13">
      <c r="A13" s="4" t="n">
        <v>9</v>
      </c>
      <c r="B13" s="4" t="inlineStr">
        <is>
          <t>Testing &amp; Equipment</t>
        </is>
      </c>
      <c r="C13" s="4" t="inlineStr">
        <is>
          <t>Test procedures, measured values, units, tolerances, results, instruments and approvals</t>
        </is>
      </c>
      <c r="D13" s="5" t="n">
        <v>75000</v>
      </c>
      <c r="E13" s="5" t="n">
        <v>22000</v>
      </c>
      <c r="F13" s="5" t="n">
        <v>38000</v>
      </c>
      <c r="G13" s="4" t="inlineStr">
        <is>
          <t>Expanded agreed test coverage and result templates.</t>
        </is>
      </c>
    </row>
    <row r="14">
      <c r="A14" s="13" t="n">
        <v>10</v>
      </c>
      <c r="B14" s="13" t="inlineStr">
        <is>
          <t>Traceability</t>
        </is>
      </c>
      <c r="C14" s="13" t="inlineStr">
        <is>
          <t>Material-to-job links, lot/serial tracking, consumption and dispatch traceability</t>
        </is>
      </c>
      <c r="D14" s="14" t="n">
        <v>65000</v>
      </c>
      <c r="E14" s="14" t="n">
        <v>14000</v>
      </c>
      <c r="F14" s="14" t="n">
        <v>30000</v>
      </c>
      <c r="G14" s="13" t="inlineStr">
        <is>
          <t>Expanded lot/serial and QR-enabled tracking where feasible.</t>
        </is>
      </c>
    </row>
    <row r="15">
      <c r="A15" s="4" t="n">
        <v>11</v>
      </c>
      <c r="B15" s="4" t="inlineStr">
        <is>
          <t>Procurement &amp; Vendors</t>
        </is>
      </c>
      <c r="C15" s="4" t="inlineStr">
        <is>
          <t>Purchase requests, supplier quotes, comparisons, POs and receipts</t>
        </is>
      </c>
      <c r="D15" s="5" t="n">
        <v>55000</v>
      </c>
      <c r="E15" s="5" t="n">
        <v>18000</v>
      </c>
      <c r="F15" s="5" t="n">
        <v>28000</v>
      </c>
      <c r="G15" s="4" t="inlineStr">
        <is>
          <t>Expanded purchasing comparisons and job-wise linkage.</t>
        </is>
      </c>
    </row>
    <row r="16">
      <c r="A16" s="13" t="n">
        <v>12</v>
      </c>
      <c r="B16" s="13" t="inlineStr">
        <is>
          <t>Inventory &amp; Warehousing</t>
        </is>
      </c>
      <c r="C16" s="13" t="inlineStr">
        <is>
          <t>Stock ledger, locations, receipts, issues, reservations, returns and adjustments</t>
        </is>
      </c>
      <c r="D16" s="14" t="n">
        <v>75000</v>
      </c>
      <c r="E16" s="14" t="n">
        <v>24000</v>
      </c>
      <c r="F16" s="14" t="n">
        <v>38000</v>
      </c>
      <c r="G16" s="13" t="inlineStr">
        <is>
          <t>More detailed stock movements and traceability links.</t>
        </is>
      </c>
    </row>
    <row r="17">
      <c r="A17" s="4" t="n">
        <v>13</v>
      </c>
      <c r="B17" s="4" t="inlineStr">
        <is>
          <t>MRP &amp; Production Planning</t>
        </is>
      </c>
      <c r="C17" s="4" t="inlineStr">
        <is>
          <t>Material requirements, shortages, dependencies and basic scheduling</t>
        </is>
      </c>
      <c r="D17" s="5" t="n">
        <v>80000</v>
      </c>
      <c r="E17" s="5" t="n">
        <v>12000</v>
      </c>
      <c r="F17" s="5" t="n">
        <v>30000</v>
      </c>
      <c r="G17" s="4" t="inlineStr">
        <is>
          <t>Basic MRP calculations and bounded production scheduling.</t>
        </is>
      </c>
    </row>
    <row r="18">
      <c r="A18" s="13" t="n">
        <v>14</v>
      </c>
      <c r="B18" s="13" t="inlineStr">
        <is>
          <t>Finance &amp; Costing</t>
        </is>
      </c>
      <c r="C18" s="13" t="inlineStr">
        <is>
          <t>Job-wise material/labour/overhead costs and profitability</t>
        </is>
      </c>
      <c r="D18" s="14" t="n">
        <v>75000</v>
      </c>
      <c r="E18" s="14" t="n">
        <v>14000</v>
      </c>
      <c r="F18" s="14" t="n">
        <v>30000</v>
      </c>
      <c r="G18" s="13" t="inlineStr">
        <is>
          <t>Actual-versus-estimated job-cost reporting.</t>
        </is>
      </c>
    </row>
    <row r="19">
      <c r="A19" s="4" t="n">
        <v>15</v>
      </c>
      <c r="B19" s="4" t="inlineStr">
        <is>
          <t>HR &amp; Attendance</t>
        </is>
      </c>
      <c r="C19" s="4" t="inlineStr">
        <is>
          <t>Employee records, attendance, leave and timesheets</t>
        </is>
      </c>
      <c r="D19" s="5" t="n">
        <v>40000</v>
      </c>
      <c r="E19" s="5" t="n">
        <v>10000</v>
      </c>
      <c r="F19" s="5" t="n">
        <v>16000</v>
      </c>
      <c r="G19" s="4" t="inlineStr">
        <is>
          <t>Additional attendance and timesheet workflow depth.</t>
        </is>
      </c>
    </row>
    <row r="20">
      <c r="A20" s="13" t="n">
        <v>16</v>
      </c>
      <c r="B20" s="13" t="inlineStr">
        <is>
          <t>Dispatch &amp; Logistics</t>
        </is>
      </c>
      <c r="C20" s="13" t="inlineStr">
        <is>
          <t>Dispatch readiness, packing/delivery documents, shipping and status</t>
        </is>
      </c>
      <c r="D20" s="14" t="n">
        <v>40000</v>
      </c>
      <c r="E20" s="14" t="n">
        <v>14000</v>
      </c>
      <c r="F20" s="14" t="n">
        <v>20000</v>
      </c>
      <c r="G20" s="13" t="inlineStr">
        <is>
          <t>Expanded dispatch readiness and delivery tracking.</t>
        </is>
      </c>
    </row>
    <row r="21">
      <c r="A21" s="4" t="n">
        <v>17</v>
      </c>
      <c r="B21" s="4" t="inlineStr">
        <is>
          <t>Contracts, Compliance &amp; Risk</t>
        </is>
      </c>
      <c r="C21" s="4" t="inlineStr">
        <is>
          <t>Obligations, compliance records, risks, approvals and deadlines</t>
        </is>
      </c>
      <c r="D21" s="5" t="n">
        <v>35000</v>
      </c>
      <c r="E21" s="5" t="n">
        <v>8000</v>
      </c>
      <c r="F21" s="5" t="n">
        <v>14000</v>
      </c>
      <c r="G21" s="4" t="inlineStr">
        <is>
          <t>More approval reminders and structured risk registers.</t>
        </is>
      </c>
    </row>
    <row r="22">
      <c r="A22" s="13" t="n">
        <v>18</v>
      </c>
      <c r="B22" s="13" t="inlineStr">
        <is>
          <t>Dashboards &amp; Reporting</t>
        </is>
      </c>
      <c r="C22" s="13" t="inlineStr">
        <is>
          <t>Job status, delays, shortages, production, quality and cost views</t>
        </is>
      </c>
      <c r="D22" s="14" t="n">
        <v>40000</v>
      </c>
      <c r="E22" s="14" t="n">
        <v>14000</v>
      </c>
      <c r="F22" s="14" t="n">
        <v>22000</v>
      </c>
      <c r="G22" s="13" t="inlineStr">
        <is>
          <t>Expanded agreed reports beyond the core four views.</t>
        </is>
      </c>
    </row>
    <row r="23">
      <c r="A23" s="4" t="n">
        <v>19</v>
      </c>
      <c r="B23" s="4" t="inlineStr">
        <is>
          <t>Notifications &amp; Automation</t>
        </is>
      </c>
      <c r="C23" s="4" t="inlineStr">
        <is>
          <t>Overdue tasks, approvals, shortages, failed inspections and workflow events</t>
        </is>
      </c>
      <c r="D23" s="5" t="n">
        <v>30000</v>
      </c>
      <c r="E23" s="5" t="n">
        <v>10000</v>
      </c>
      <c r="F23" s="5" t="n">
        <v>18000</v>
      </c>
      <c r="G23" s="4" t="inlineStr">
        <is>
          <t>Additional agreed alerts and selected workflow automation.</t>
        </is>
      </c>
    </row>
    <row r="24">
      <c r="B24" s="15" t="inlineStr">
        <is>
          <t>Module allocation total</t>
        </is>
      </c>
      <c r="C24" s="15" t="n"/>
      <c r="D24" s="16">
        <f>SUM(D5:D23)</f>
        <v/>
      </c>
      <c r="E24" s="16">
        <f>SUM(E5:E23)</f>
        <v/>
      </c>
      <c r="F24" s="16">
        <f>SUM(F5:F23)</f>
        <v/>
      </c>
    </row>
  </sheetData>
  <autoFilter ref="A4:G23"/>
  <mergeCells count="2">
    <mergeCell ref="A2:G2"/>
    <mergeCell ref="A1:G1"/>
  </mergeCells>
  <pageMargins left="0.25" right="0.25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62" customWidth="1" min="2" max="2"/>
    <col width="22" customWidth="1" min="3" max="3"/>
    <col width="22" customWidth="1" min="4" max="4"/>
    <col width="55" customWidth="1" min="5" max="5"/>
  </cols>
  <sheetData>
    <row r="1" ht="32" customHeight="1">
      <c r="A1" s="1" t="inlineStr">
        <is>
          <t>SHARED IMPLEMENTATION &amp; ADD-ONS</t>
        </is>
      </c>
    </row>
    <row r="2" ht="30" customHeight="1">
      <c r="A2" s="2" t="inlineStr">
        <is>
          <t>Shared work is bundled and discounted to fit the agreed package caps; it is not charged at standalone reference rates.</t>
        </is>
      </c>
    </row>
    <row r="3"/>
    <row r="4">
      <c r="A4" s="3" t="inlineStr">
        <is>
          <t>Workstream</t>
        </is>
      </c>
      <c r="B4" s="3" t="inlineStr">
        <is>
          <t>Description</t>
        </is>
      </c>
      <c r="C4" s="3" t="inlineStr">
        <is>
          <t>Option B (pre-GST)</t>
        </is>
      </c>
      <c r="D4" s="3" t="inlineStr">
        <is>
          <t>Option C (pre-GST)</t>
        </is>
      </c>
      <c r="E4" s="3" t="inlineStr">
        <is>
          <t>Notes / exclusions</t>
        </is>
      </c>
    </row>
    <row r="5">
      <c r="A5" s="4" t="inlineStr">
        <is>
          <t>Core platform &amp; role setup</t>
        </is>
      </c>
      <c r="B5" s="4" t="inlineStr">
        <is>
          <t>Workspace setup, roles, access control and base configuration</t>
        </is>
      </c>
      <c r="C5" s="5" t="n">
        <v>22000</v>
      </c>
      <c r="D5" s="5" t="n">
        <v>18000</v>
      </c>
      <c r="E5" s="4" t="inlineStr">
        <is>
          <t>Assumes existing Verity platform components are reusable.</t>
        </is>
      </c>
    </row>
    <row r="6">
      <c r="A6" s="4" t="inlineStr">
        <is>
          <t>Audit &amp; approval infrastructure</t>
        </is>
      </c>
      <c r="B6" s="4" t="inlineStr">
        <is>
          <t>Audit trails, approval events and basic workflow infrastructure</t>
        </is>
      </c>
      <c r="C6" s="5" t="n">
        <v>18000</v>
      </c>
      <c r="D6" s="5" t="n">
        <v>12000</v>
      </c>
      <c r="E6" s="4" t="inlineStr">
        <is>
          <t>Advanced custom audit integrations excluded.</t>
        </is>
      </c>
    </row>
    <row r="7">
      <c r="A7" s="4" t="inlineStr">
        <is>
          <t>Data migration &amp; master-data import</t>
        </is>
      </c>
      <c r="B7" s="4" t="inlineStr">
        <is>
          <t>Import agreed customers, components, vendors and opening data templates</t>
        </is>
      </c>
      <c r="C7" s="5" t="n">
        <v>12000</v>
      </c>
      <c r="D7" s="5" t="n">
        <v>10000</v>
      </c>
      <c r="E7" s="4" t="inlineStr">
        <is>
          <t>Data cleanup and historical reconstruction beyond agreed templates excluded.</t>
        </is>
      </c>
    </row>
    <row r="8">
      <c r="A8" s="4" t="inlineStr">
        <is>
          <t>Deployment, security &amp; backup/restore</t>
        </is>
      </c>
      <c r="B8" s="4" t="inlineStr">
        <is>
          <t>Linux VM deployment, environment configuration, backup and restoration test</t>
        </is>
      </c>
      <c r="C8" s="5" t="n">
        <v>18000</v>
      </c>
      <c r="D8" s="5" t="n">
        <v>14000</v>
      </c>
      <c r="E8" s="4" t="inlineStr">
        <is>
          <t>Hardware, network remediation and managed hosting excluded.</t>
        </is>
      </c>
    </row>
    <row r="9">
      <c r="A9" s="4" t="inlineStr">
        <is>
          <t>Testing, UAT &amp; go-live coordination</t>
        </is>
      </c>
      <c r="B9" s="4" t="inlineStr">
        <is>
          <t>Integrated testing, UAT support, issue triage and release checklist</t>
        </is>
      </c>
      <c r="C9" s="5" t="n">
        <v>18000</v>
      </c>
      <c r="D9" s="5" t="n">
        <v>10000</v>
      </c>
      <c r="E9" s="4" t="inlineStr">
        <is>
          <t>Scope changes are handled through change control.</t>
        </is>
      </c>
    </row>
    <row r="10">
      <c r="A10" s="4" t="inlineStr">
        <is>
          <t>Training, documentation &amp; handover</t>
        </is>
      </c>
      <c r="B10" s="4" t="inlineStr">
        <is>
          <t>Admin/user training and handover notes</t>
        </is>
      </c>
      <c r="C10" s="5" t="n">
        <v>15729</v>
      </c>
      <c r="D10" s="5" t="n">
        <v>5593</v>
      </c>
      <c r="E10" s="4" t="inlineStr">
        <is>
          <t>Training sessions and user count to be agreed.</t>
        </is>
      </c>
    </row>
    <row r="11">
      <c r="A11" s="4" t="inlineStr">
        <is>
          <t>AI document-intelligence pilot</t>
        </is>
      </c>
      <c r="B11" s="4" t="inlineStr">
        <is>
          <t>Bounded extraction/search pilot with evaluation criteria</t>
        </is>
      </c>
      <c r="C11" s="5" t="n">
        <v>0</v>
      </c>
      <c r="D11" s="5" t="n">
        <v>20000</v>
      </c>
      <c r="E11" s="4" t="inlineStr">
        <is>
          <t>Option C only; model/API/GPU consumption and local model hosting excluded.</t>
        </is>
      </c>
    </row>
    <row r="12">
      <c r="B12" s="17" t="inlineStr">
        <is>
          <t>Shared/add-on allocation total</t>
        </is>
      </c>
      <c r="C12" s="18">
        <f>SUM(C5:C11)</f>
        <v/>
      </c>
      <c r="D12" s="18">
        <f>SUM(D5:D11)</f>
        <v/>
      </c>
    </row>
  </sheetData>
  <mergeCells count="2">
    <mergeCell ref="A2:E2"/>
    <mergeCell ref="A1:E1"/>
  </mergeCells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48" customWidth="1" min="3" max="3"/>
    <col width="60" customWidth="1" min="4" max="4"/>
  </cols>
  <sheetData>
    <row r="1" ht="32" customHeight="1">
      <c r="A1" s="1" t="inlineStr">
        <is>
          <t>SCOPE, ASSUMPTIONS &amp; EXCLUSIONS</t>
        </is>
      </c>
    </row>
    <row r="2" ht="30" customHeight="1">
      <c r="A2" s="2" t="inlineStr">
        <is>
          <t>Use this sheet to align expectations before issuing the commercial proposal or signing the statement of work.</t>
        </is>
      </c>
    </row>
    <row r="3"/>
    <row r="4">
      <c r="A4" s="3" t="inlineStr">
        <is>
          <t>Area</t>
        </is>
      </c>
      <c r="B4" s="3" t="inlineStr">
        <is>
          <t>Option B — Core ERP</t>
        </is>
      </c>
      <c r="C4" s="3" t="inlineStr">
        <is>
          <t>Option C — Advanced ERP</t>
        </is>
      </c>
      <c r="D4" s="3" t="inlineStr">
        <is>
          <t>Boundary / acceptance basis</t>
        </is>
      </c>
    </row>
    <row r="5" ht="48" customHeight="1">
      <c r="A5" s="4" t="inlineStr">
        <is>
          <t>Commercial modules</t>
        </is>
      </c>
      <c r="B5" s="4" t="inlineStr">
        <is>
          <t>CRM, enquiry/quotation revisions, order conversion and job creation</t>
        </is>
      </c>
      <c r="C5" s="4" t="inlineStr">
        <is>
          <t>Same, with expanded workflow depth</t>
        </is>
      </c>
      <c r="D5" s="4" t="inlineStr">
        <is>
          <t>One DSEW site; agreed users and workflows.</t>
        </is>
      </c>
    </row>
    <row r="6" ht="48" customHeight="1">
      <c r="A6" s="4" t="inlineStr">
        <is>
          <t>Engineering &amp; documents</t>
        </is>
      </c>
      <c r="B6" s="4" t="inlineStr">
        <is>
          <t>Single-level BOM; controlled documents and revisions</t>
        </is>
      </c>
      <c r="C6" s="4" t="inlineStr">
        <is>
          <t>Expanded revision control; deeper BOM coverage as agreed</t>
        </is>
      </c>
      <c r="D6" s="4" t="inlineStr">
        <is>
          <t>No unlimited CAD/PDM integration.</t>
        </is>
      </c>
    </row>
    <row r="7" ht="48" customHeight="1">
      <c r="A7" s="4" t="inlineStr">
        <is>
          <t>Manufacturing</t>
        </is>
      </c>
      <c r="B7" s="4" t="inlineStr">
        <is>
          <t>Production orders, agreed routes, travelers, work logs, holds and basic rework</t>
        </is>
      </c>
      <c r="C7" s="4" t="inlineStr">
        <is>
          <t>Expanded operation tracking, routing and rework controls</t>
        </is>
      </c>
      <c r="D7" s="4" t="inlineStr">
        <is>
          <t>No advanced finite-capacity scheduling.</t>
        </is>
      </c>
    </row>
    <row r="8" ht="48" customHeight="1">
      <c r="A8" s="4" t="inlineStr">
        <is>
          <t>Quality &amp; testing</t>
        </is>
      </c>
      <c r="B8" s="4" t="inlineStr">
        <is>
          <t>Quality gates and structured test records for up to 3 agreed product families</t>
        </is>
      </c>
      <c r="C8" s="4" t="inlineStr">
        <is>
          <t>Expanded agreed test templates and inspection coverage</t>
        </is>
      </c>
      <c r="D8" s="4" t="inlineStr">
        <is>
          <t>Acceptance criteria, units and tolerances supplied/approved by DSEW.</t>
        </is>
      </c>
    </row>
    <row r="9" ht="48" customHeight="1">
      <c r="A9" s="4" t="inlineStr">
        <is>
          <t>Inventory &amp; procurement</t>
        </is>
      </c>
      <c r="B9" s="4" t="inlineStr">
        <is>
          <t>Core stock ledger, receipts/issues, purchasing and material availability</t>
        </is>
      </c>
      <c r="C9" s="4" t="inlineStr">
        <is>
          <t>Expanded job-wise traceability and QR/lot workflows where feasible</t>
        </is>
      </c>
      <c r="D9" s="4" t="inlineStr">
        <is>
          <t>Barcode/QR hardware excluded; device compatibility to be validated.</t>
        </is>
      </c>
    </row>
    <row r="10" ht="48" customHeight="1">
      <c r="A10" s="4" t="inlineStr">
        <is>
          <t>MRP &amp; costing</t>
        </is>
      </c>
      <c r="B10" s="4" t="inlineStr">
        <is>
          <t>Shortage visibility and basic job-cost capture</t>
        </is>
      </c>
      <c r="C10" s="4" t="inlineStr">
        <is>
          <t>Bounded MRP/scheduling and actual-vs-estimated costing</t>
        </is>
      </c>
      <c r="D10" s="4" t="inlineStr">
        <is>
          <t>No statutory accounting replacement unless explicitly scoped.</t>
        </is>
      </c>
    </row>
    <row r="11" ht="48" customHeight="1">
      <c r="A11" s="4" t="inlineStr">
        <is>
          <t>HR</t>
        </is>
      </c>
      <c r="B11" s="4" t="inlineStr">
        <is>
          <t>Employee records, attendance, leave and timesheets</t>
        </is>
      </c>
      <c r="C11" s="4" t="inlineStr">
        <is>
          <t>Expanded basic HR workflow</t>
        </is>
      </c>
      <c r="D11" s="4" t="inlineStr">
        <is>
          <t>Payroll and statutory compliance calculations excluded.</t>
        </is>
      </c>
    </row>
    <row r="12" ht="48" customHeight="1">
      <c r="A12" s="4" t="inlineStr">
        <is>
          <t>AI</t>
        </is>
      </c>
      <c r="B12" s="4" t="inlineStr">
        <is>
          <t>Not included in base package</t>
        </is>
      </c>
      <c r="C12" s="4" t="inlineStr">
        <is>
          <t>Limited document-intelligence pilot</t>
        </is>
      </c>
      <c r="D12" s="4" t="inlineStr">
        <is>
          <t>Accuracy thresholds and sample documents to be agreed; usage charges excluded.</t>
        </is>
      </c>
    </row>
    <row r="13" ht="48" customHeight="1">
      <c r="A13" s="4" t="inlineStr">
        <is>
          <t>Deployment</t>
        </is>
      </c>
      <c r="B13" s="4" t="inlineStr">
        <is>
          <t>Linux VM deployment and backup/restore acceptance test</t>
        </is>
      </c>
      <c r="C13" s="4" t="inlineStr">
        <is>
          <t>Same</t>
        </is>
      </c>
      <c r="D13" s="4" t="inlineStr">
        <is>
          <t>Client supplies compatible hardware/VM, LAN and remote access.</t>
        </is>
      </c>
    </row>
    <row r="14" ht="48" customHeight="1">
      <c r="A14" s="4" t="inlineStr">
        <is>
          <t>Data migration</t>
        </is>
      </c>
      <c r="B14" s="4" t="inlineStr">
        <is>
          <t>Agreed templates and limited master-data import</t>
        </is>
      </c>
      <c r="C14" s="4" t="inlineStr">
        <is>
          <t>Same, with agreed expanded reference data only</t>
        </is>
      </c>
      <c r="D14" s="4" t="inlineStr">
        <is>
          <t>Data cleansing, scanning and bulk historical migration quoted separately.</t>
        </is>
      </c>
    </row>
    <row r="15" ht="48" customHeight="1">
      <c r="A15" s="4" t="inlineStr">
        <is>
          <t>Training &amp; support</t>
        </is>
      </c>
      <c r="B15" s="4" t="inlineStr">
        <is>
          <t>Agreed training, documentation and handover</t>
        </is>
      </c>
      <c r="C15" s="4" t="inlineStr">
        <is>
          <t>Same</t>
        </is>
      </c>
      <c r="D15" s="4" t="inlineStr">
        <is>
          <t>Annual support/AMC is separate unless added to contract.</t>
        </is>
      </c>
    </row>
    <row r="16" ht="48" customHeight="1">
      <c r="A16" s="4" t="inlineStr">
        <is>
          <t>Integrations</t>
        </is>
      </c>
      <c r="B16" s="4" t="inlineStr">
        <is>
          <t>Standard in-scope workflows only</t>
        </is>
      </c>
      <c r="C16" s="4" t="inlineStr">
        <is>
          <t>Only named integrations in signed scope</t>
        </is>
      </c>
      <c r="D16" s="4" t="inlineStr">
        <is>
          <t>GST/e-invoice, bank, email/SMS/WhatsApp and third-party APIs excluded unless listed.</t>
        </is>
      </c>
    </row>
    <row r="17" ht="48" customHeight="1">
      <c r="A17" s="4" t="inlineStr">
        <is>
          <t>Warranty &amp; changes</t>
        </is>
      </c>
      <c r="B17" s="4" t="inlineStr">
        <is>
          <t>12-month bundled arrangement: defect warranty, testing/UAT assistance and routine maintenance at Rs 8,500/month (Rs 1,02,000 for 12 months, ex GST).</t>
        </is>
      </c>
      <c r="C17" s="4" t="inlineStr">
        <is>
          <t>12-month bundled arrangement: defect warranty, testing/UAT assistance and routine maintenance at Rs 8,500/month (Rs 1,02,000 for 12 months, ex GST).</t>
        </is>
      </c>
      <c r="D17" s="4" t="inlineStr">
        <is>
          <t>In-scope defects against signed requirements are covered for the 12 months. New features, changes to agreed workflows, additional integrations and other out-of-scope requests need a written change request. Support after 12 months is not included and needs a separately agreed renewal.</t>
        </is>
      </c>
    </row>
    <row r="18" ht="48" customHeight="1">
      <c r="A18" s="4" t="inlineStr">
        <is>
          <t>Commercial terms</t>
        </is>
      </c>
      <c r="B18" s="4" t="inlineStr">
        <is>
          <t>₹4,23,729 pre-GST + ₹76,271 GST = ₹5,00,000</t>
        </is>
      </c>
      <c r="C18" s="4" t="inlineStr">
        <is>
          <t>₹6,35,593 pre-GST + ₹1,14,407 GST = ₹7,50,000</t>
        </is>
      </c>
      <c r="D18" s="4" t="inlineStr">
        <is>
          <t>GST assumption 18%; confirm tax treatment with accountant before invoicing.</t>
        </is>
      </c>
    </row>
  </sheetData>
  <mergeCells count="2">
    <mergeCell ref="A1:D1"/>
    <mergeCell ref="A2:D2"/>
  </mergeCells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20" customWidth="1" min="3" max="3"/>
    <col width="22" customWidth="1" min="4" max="4"/>
    <col width="65" customWidth="1" min="5" max="5"/>
  </cols>
  <sheetData>
    <row r="1" ht="32" customHeight="1">
      <c r="A1" s="1" t="inlineStr">
        <is>
          <t>PAYMENT MILESTONES &amp; RECURRING COSTS</t>
        </is>
      </c>
    </row>
    <row r="2" ht="30" customHeight="1">
      <c r="A2" s="2" t="inlineStr">
        <is>
          <t>Suggested terms for the implementation agreement. Confirm dates and acceptance triggers in the signed proposal.</t>
        </is>
      </c>
    </row>
    <row r="3"/>
    <row r="4">
      <c r="A4" s="3" t="inlineStr">
        <is>
          <t>Milestone</t>
        </is>
      </c>
      <c r="B4" s="3" t="inlineStr">
        <is>
          <t>%</t>
        </is>
      </c>
      <c r="C4" s="3" t="inlineStr">
        <is>
          <t>Option B amount (incl. GST)</t>
        </is>
      </c>
      <c r="D4" s="3" t="inlineStr">
        <is>
          <t>Option C amount (incl. GST)</t>
        </is>
      </c>
      <c r="E4" s="3" t="inlineStr">
        <is>
          <t>Trigger</t>
        </is>
      </c>
    </row>
    <row r="5">
      <c r="A5" s="4" t="inlineStr">
        <is>
          <t>Kickoff and contract signing</t>
        </is>
      </c>
      <c r="B5" s="4" t="n">
        <v>30</v>
      </c>
      <c r="C5" s="5" t="n">
        <v>150000</v>
      </c>
      <c r="D5" s="5" t="n">
        <v>225000</v>
      </c>
      <c r="E5" s="4" t="inlineStr">
        <is>
          <t>Signed agreement and kickoff</t>
        </is>
      </c>
    </row>
    <row r="6">
      <c r="A6" s="4" t="inlineStr">
        <is>
          <t>Approved workflows and design baseline</t>
        </is>
      </c>
      <c r="B6" s="4" t="n">
        <v>25</v>
      </c>
      <c r="C6" s="5" t="n">
        <v>125000</v>
      </c>
      <c r="D6" s="5" t="n">
        <v>187500</v>
      </c>
      <c r="E6" s="4" t="inlineStr">
        <is>
          <t>Written approval of agreed process/design baseline</t>
        </is>
      </c>
    </row>
    <row r="7">
      <c r="A7" s="4" t="inlineStr">
        <is>
          <t>Feature-complete staging release</t>
        </is>
      </c>
      <c r="B7" s="4" t="n">
        <v>25</v>
      </c>
      <c r="C7" s="5" t="n">
        <v>125000</v>
      </c>
      <c r="D7" s="5" t="n">
        <v>187500</v>
      </c>
      <c r="E7" s="4" t="inlineStr">
        <is>
          <t>Core scoped workflows available for UAT</t>
        </is>
      </c>
    </row>
    <row r="8">
      <c r="A8" s="4" t="inlineStr">
        <is>
          <t>UAT acceptance, deployment and handover</t>
        </is>
      </c>
      <c r="B8" s="4" t="n">
        <v>20</v>
      </c>
      <c r="C8" s="5" t="n">
        <v>100000</v>
      </c>
      <c r="D8" s="5" t="n">
        <v>150000</v>
      </c>
      <c r="E8" s="4" t="inlineStr">
        <is>
          <t>Acceptance checklist, deployment and handover</t>
        </is>
      </c>
    </row>
    <row r="9">
      <c r="A9" s="17" t="inlineStr">
        <is>
          <t>Total</t>
        </is>
      </c>
      <c r="B9" s="17" t="n">
        <v>100</v>
      </c>
      <c r="C9" s="18">
        <f>SUM(C5:C8)</f>
        <v/>
      </c>
      <c r="D9" s="18">
        <f>SUM(D5:D8)</f>
        <v/>
      </c>
      <c r="E9" s="17" t="inlineStr"/>
    </row>
    <row r="10"/>
    <row r="11">
      <c r="A11" s="3" t="inlineStr">
        <is>
          <t>Recurring / optional item</t>
        </is>
      </c>
      <c r="B11" s="3" t="inlineStr">
        <is>
          <t>Indicative price</t>
        </is>
      </c>
      <c r="C11" s="3" t="inlineStr">
        <is>
          <t>Frequency</t>
        </is>
      </c>
      <c r="D11" s="3" t="inlineStr">
        <is>
          <t>Included?</t>
        </is>
      </c>
      <c r="E11" s="3" t="inlineStr">
        <is>
          <t>Notes</t>
        </is>
      </c>
    </row>
    <row r="12">
      <c r="A12" s="4" t="inlineStr">
        <is>
          <t>Annual maintenance &amp; standard support</t>
        </is>
      </c>
      <c r="B12" s="4" t="inlineStr">
        <is>
          <t>₹90,000–₹1,50,000</t>
        </is>
      </c>
      <c r="C12" s="4" t="inlineStr">
        <is>
          <t>Annual</t>
        </is>
      </c>
      <c r="D12" s="4" t="inlineStr">
        <is>
          <t>Not included</t>
        </is>
      </c>
      <c r="E12" s="4" t="inlineStr">
        <is>
          <t>Bug fixes and defined support; excludes new modules/major enhancements. Not charged separately during the 12-month bundled period; applies only to a renewal after it.</t>
        </is>
      </c>
    </row>
    <row r="13">
      <c r="A13" s="4" t="inlineStr">
        <is>
          <t>Managed infrastructure, if provided by Verity</t>
        </is>
      </c>
      <c r="B13" s="4" t="inlineStr">
        <is>
          <t>₹36,000–₹90,000</t>
        </is>
      </c>
      <c r="C13" s="4" t="inlineStr">
        <is>
          <t>Annual</t>
        </is>
      </c>
      <c r="D13" s="4" t="inlineStr">
        <is>
          <t>Not included</t>
        </is>
      </c>
      <c r="E13" s="4" t="inlineStr">
        <is>
          <t>Depends on VM/server arrangement and backup requirements.</t>
        </is>
      </c>
    </row>
    <row r="14">
      <c r="A14" s="4" t="inlineStr">
        <is>
          <t>Custom enhancement work</t>
        </is>
      </c>
      <c r="B14" s="4" t="inlineStr">
        <is>
          <t>₹1,000–₹1,500/hour or fixed quote</t>
        </is>
      </c>
      <c r="C14" s="4" t="inlineStr">
        <is>
          <t>As needed</t>
        </is>
      </c>
      <c r="D14" s="4" t="inlineStr">
        <is>
          <t>Not included</t>
        </is>
      </c>
      <c r="E14" s="4" t="inlineStr">
        <is>
          <t>Estimate and approval required before work.</t>
        </is>
      </c>
    </row>
    <row r="15">
      <c r="A15" s="4" t="inlineStr">
        <is>
          <t>On-site visits outside agreed plan</t>
        </is>
      </c>
      <c r="B15" s="4" t="inlineStr">
        <is>
          <t>Travel/accommodation actuals + agreed professional fee</t>
        </is>
      </c>
      <c r="C15" s="4" t="inlineStr">
        <is>
          <t>As needed</t>
        </is>
      </c>
      <c r="D15" s="4" t="inlineStr">
        <is>
          <t>Not included</t>
        </is>
      </c>
      <c r="E15" s="4" t="inlineStr">
        <is>
          <t>Subject to prior approval.</t>
        </is>
      </c>
    </row>
    <row r="16">
      <c r="A16" s="4" t="inlineStr">
        <is>
          <t>AI/API/GPU usage</t>
        </is>
      </c>
      <c r="B16" s="4" t="inlineStr">
        <is>
          <t>Actual usage or agreed allowance</t>
        </is>
      </c>
      <c r="C16" s="4" t="inlineStr">
        <is>
          <t>Monthly/annual</t>
        </is>
      </c>
      <c r="D16" s="4" t="inlineStr">
        <is>
          <t>Option C pilot excludes consumption</t>
        </is>
      </c>
      <c r="E16" s="4" t="inlineStr">
        <is>
          <t>Confirm model/provider and usage limits before activation.</t>
        </is>
      </c>
    </row>
    <row r="17">
      <c r="A17" s="4" t="inlineStr">
        <is>
          <t>Hardware and shop-floor devices</t>
        </is>
      </c>
      <c r="B17" s="4" t="inlineStr">
        <is>
          <t>Vendor quotation</t>
        </is>
      </c>
      <c r="C17" s="4" t="inlineStr">
        <is>
          <t>One-time</t>
        </is>
      </c>
      <c r="D17" s="4" t="inlineStr">
        <is>
          <t>Not included</t>
        </is>
      </c>
      <c r="E17" s="4" t="inlineStr">
        <is>
          <t>Scanners, printers, UPS, server and networking.</t>
        </is>
      </c>
    </row>
    <row r="18">
      <c r="A18" s="4" t="inlineStr">
        <is>
          <t>12-month bundled warranty, testing/UAT assistance and maintenance</t>
        </is>
      </c>
      <c r="B18" s="4" t="inlineStr">
        <is>
          <t>Rs 8,500 per month (Rs 1,02,000 for 12 months, ex GST)</t>
        </is>
      </c>
      <c r="C18" s="4" t="inlineStr">
        <is>
          <t>Monthly, for 12 months from go-live</t>
        </is>
      </c>
      <c r="D18" s="4" t="inlineStr">
        <is>
          <t>Yes: Option A (agreed). Confirm before reusing for Options B or C</t>
        </is>
      </c>
      <c r="E18" s="4" t="inlineStr">
        <is>
          <t>Replaces a separate warranty, testing-support charge and AMC for the 12 months. Excludes new features, workflow changes, additional integrations and other out-of-scope work, which are quoted separately.</t>
        </is>
      </c>
    </row>
  </sheetData>
  <mergeCells count="2">
    <mergeCell ref="A2:E2"/>
    <mergeCell ref="A1:E1"/>
  </mergeCell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2026-10-19T10:34:38Z</dcterms:created>
  <dcterms:modified xmlns:dcterms="http://purl.org/dc/terms/" xmlns:xsi="http://www.w3.org/2001/XMLSchema-instance" xsi:type="dcterms:W3CDTF">2026-10-19T11:14:45Z</dcterms:modified>
</cp:coreProperties>
</file>