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VP Pricing" sheetId="2" state="visible" r:id="rId2"/>
    <sheet xmlns:r="http://schemas.openxmlformats.org/officeDocument/2006/relationships" name="Complete Pricing" sheetId="3" state="visible" r:id="rId3"/>
    <sheet xmlns:r="http://schemas.openxmlformats.org/officeDocument/2006/relationships" name="Option 3 Phases" sheetId="4" state="visible" r:id="rId4"/>
    <sheet xmlns:r="http://schemas.openxmlformats.org/officeDocument/2006/relationships" name="Payments" sheetId="5" state="visible" r:id="rId5"/>
    <sheet xmlns:r="http://schemas.openxmlformats.org/officeDocument/2006/relationships" name="Support Fee" sheetId="6" state="visible" r:id="rId6"/>
    <sheet xmlns:r="http://schemas.openxmlformats.org/officeDocument/2006/relationships" name="Scope Comparis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&gt;=10000000]##\,##\,##\,##0;[&gt;=100000]##\,##\,##0;##,##0"/>
    <numFmt numFmtId="165" formatCode="0.0%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8000"/>
      <sz val="10"/>
    </font>
  </fonts>
  <fills count="3">
    <fill>
      <patternFill/>
    </fill>
    <fill>
      <patternFill patternType="gray125"/>
    </fill>
    <fill>
      <patternFill patternType="solid">
        <fgColor rgb="000B3A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9" fontId="4" fillId="0" borderId="0" pivotButton="0" quotePrefix="0" xfId="0"/>
    <xf numFmtId="164" fontId="4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vertical="center" wrapText="1"/>
    </xf>
    <xf numFmtId="164" fontId="6" fillId="0" borderId="0" pivotButton="0" quotePrefix="0" xfId="0"/>
    <xf numFmtId="164" fontId="2" fillId="0" borderId="0" pivotButton="0" quotePrefix="0" xfId="0"/>
    <xf numFmtId="0" fontId="5" fillId="0" borderId="0" pivotButton="0" quotePrefix="0" xfId="0"/>
    <xf numFmtId="165" fontId="2" fillId="0" borderId="0" pivotButton="0" quotePrefix="0" xfId="0"/>
    <xf numFmtId="9" fontId="2" fillId="0" borderId="0" pivotButton="0" quotePrefix="0" xfId="0"/>
    <xf numFmtId="164" fontId="5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4" customWidth="1" min="2" max="2"/>
    <col width="24" customWidth="1" min="3" max="3"/>
    <col width="28" customWidth="1" min="4" max="4"/>
  </cols>
  <sheetData>
    <row r="1">
      <c r="A1" s="1" t="inlineStr">
        <is>
          <t>DSEW ERP: COMMERCIAL SUMMARY (PlotArmour / Verity)</t>
        </is>
      </c>
    </row>
    <row r="2">
      <c r="A2" s="2" t="inlineStr">
        <is>
          <t>Single source of truth for the client PDFs. Rupees. Blue = input, black = formula, green = link to another sheet.</t>
        </is>
      </c>
    </row>
    <row r="4">
      <c r="A4" s="2" t="inlineStr">
        <is>
          <t>GST rate (illustrative, confirm at invoicing)</t>
        </is>
      </c>
      <c r="B4" s="3" t="n">
        <v>0.18</v>
      </c>
    </row>
    <row r="5">
      <c r="A5" s="2" t="inlineStr">
        <is>
          <t>Monthly support fee (ex GST), starts at go-live</t>
        </is>
      </c>
      <c r="B5" s="4" t="n">
        <v>8500</v>
      </c>
    </row>
    <row r="6">
      <c r="A6" s="2" t="inlineStr">
        <is>
          <t>Support months</t>
        </is>
      </c>
      <c r="B6" s="5" t="n">
        <v>12</v>
      </c>
    </row>
    <row r="8">
      <c r="A8" s="6" t="inlineStr"/>
      <c r="B8" s="6" t="inlineStr">
        <is>
          <t>Option 1: MVP</t>
        </is>
      </c>
      <c r="C8" s="6" t="inlineStr">
        <is>
          <t>Option 2: Complete ERP</t>
        </is>
      </c>
      <c r="D8" s="6" t="inlineStr">
        <is>
          <t>Option 3: Phased Complete ERP</t>
        </is>
      </c>
    </row>
    <row r="9">
      <c r="A9" s="2" t="inlineStr">
        <is>
          <t>One-time fee (ex GST)</t>
        </is>
      </c>
      <c r="B9" s="7">
        <f>'MVP Pricing'!C20</f>
        <v/>
      </c>
      <c r="C9" s="7">
        <f>'Complete Pricing'!C32</f>
        <v/>
      </c>
      <c r="D9" s="7">
        <f>'Option 3 Phases'!D9</f>
        <v/>
      </c>
    </row>
    <row r="10">
      <c r="A10" s="2" t="inlineStr">
        <is>
          <t>GST on the fee</t>
        </is>
      </c>
      <c r="B10" s="8">
        <f>ROUND(B9*$B$4,0)</f>
        <v/>
      </c>
      <c r="C10" s="8">
        <f>ROUND(C9*$B$4,0)</f>
        <v/>
      </c>
      <c r="D10" s="8">
        <f>ROUND(D9*$B$4,0)</f>
        <v/>
      </c>
    </row>
    <row r="11">
      <c r="A11" s="9" t="inlineStr">
        <is>
          <t>Total including GST</t>
        </is>
      </c>
      <c r="B11" s="8">
        <f>B9+B10</f>
        <v/>
      </c>
      <c r="C11" s="8">
        <f>C9+C10</f>
        <v/>
      </c>
      <c r="D11" s="8">
        <f>D9+D10</f>
        <v/>
      </c>
    </row>
    <row r="12">
      <c r="A12" s="2" t="inlineStr">
        <is>
          <t>12-month support fee (ex GST)</t>
        </is>
      </c>
      <c r="B12" s="8">
        <f>$B$5*$B$6</f>
        <v/>
      </c>
      <c r="C12" s="8">
        <f>$B$5*$B$6</f>
        <v/>
      </c>
      <c r="D12" s="8">
        <f>$B$5*$B$6</f>
        <v/>
      </c>
    </row>
    <row r="13">
      <c r="A13" s="2" t="inlineStr">
        <is>
          <t>GST on the support fee</t>
        </is>
      </c>
      <c r="B13" s="8">
        <f>ROUND(B12*$B$4,0)</f>
        <v/>
      </c>
      <c r="C13" s="8">
        <f>ROUND(C12*$B$4,0)</f>
        <v/>
      </c>
      <c r="D13" s="8">
        <f>ROUND(D12*$B$4,0)</f>
        <v/>
      </c>
    </row>
    <row r="14">
      <c r="A14" s="2" t="inlineStr">
        <is>
          <t>First 12 months, ex GST</t>
        </is>
      </c>
      <c r="B14" s="8">
        <f>B9+B12</f>
        <v/>
      </c>
      <c r="C14" s="8">
        <f>C9+C12</f>
        <v/>
      </c>
      <c r="D14" s="8">
        <f>D9+D12</f>
        <v/>
      </c>
    </row>
    <row r="15">
      <c r="A15" s="2" t="inlineStr">
        <is>
          <t>First 12 months, GST</t>
        </is>
      </c>
      <c r="B15" s="8">
        <f>ROUND(B14*$B$4,0)</f>
        <v/>
      </c>
      <c r="C15" s="8">
        <f>ROUND(C14*$B$4,0)</f>
        <v/>
      </c>
      <c r="D15" s="8">
        <f>ROUND(D14*$B$4,0)</f>
        <v/>
      </c>
    </row>
    <row r="16">
      <c r="A16" s="9" t="inlineStr">
        <is>
          <t>First 12 months, including GST</t>
        </is>
      </c>
      <c r="B16" s="8">
        <f>B14+B15</f>
        <v/>
      </c>
      <c r="C16" s="8">
        <f>C14+C15</f>
        <v/>
      </c>
      <c r="D16" s="8">
        <f>D14+D15</f>
        <v/>
      </c>
    </row>
    <row r="17">
      <c r="A17" s="2" t="inlineStr">
        <is>
          <t>Estimated delivery from kickoff</t>
        </is>
      </c>
      <c r="B17" s="2" t="inlineStr">
        <is>
          <t>About 6 to 8 weeks</t>
        </is>
      </c>
      <c r="C17" s="2" t="inlineStr">
        <is>
          <t>About 8 to 12 weeks</t>
        </is>
      </c>
      <c r="D17" s="2" t="inlineStr">
        <is>
          <t>About 8 to 12 weeks</t>
        </is>
      </c>
    </row>
    <row r="19">
      <c r="A19" s="2" t="inlineStr">
        <is>
          <t>Complete minus MVP (ex GST)</t>
        </is>
      </c>
      <c r="B19" s="8">
        <f>C9-B9</f>
        <v/>
      </c>
    </row>
    <row r="20">
      <c r="A20" s="2" t="inlineStr">
        <is>
          <t>Complete costs this much more than MVP</t>
        </is>
      </c>
      <c r="B20" s="10">
        <f>C9/B9-1</f>
        <v/>
      </c>
    </row>
    <row r="21">
      <c r="A21" s="2" t="inlineStr">
        <is>
          <t>MVP price as a share of Complete</t>
        </is>
      </c>
      <c r="B21" s="11">
        <f>B9/C9</f>
        <v/>
      </c>
    </row>
    <row r="23">
      <c r="A23" s="2" t="inlineStr">
        <is>
          <t>MVP is roughly 55% of Complete's functional scope (planning estimate). Option 3 is the same scope and price as Option 2, in four phases.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18" customWidth="1" min="3" max="3"/>
  </cols>
  <sheetData>
    <row r="1">
      <c r="A1" s="1" t="inlineStr">
        <is>
          <t>OPTION 1: MVP, CORE ENGINEERING AND MANUFACTURING ERP</t>
        </is>
      </c>
    </row>
    <row r="2">
      <c r="A2" s="2" t="inlineStr">
        <is>
          <t>Source: clients/dsew/proposal/01-proposal.md. Rupees, excluding GST. Blue = input, black = formula.</t>
        </is>
      </c>
    </row>
    <row r="4">
      <c r="A4" s="6" t="inlineStr">
        <is>
          <t>#</t>
        </is>
      </c>
      <c r="B4" s="6" t="inlineStr">
        <is>
          <t>Module / deliverable</t>
        </is>
      </c>
      <c r="C4" s="6" t="inlineStr">
        <is>
          <t>Price (Rs, ex GST)</t>
        </is>
      </c>
    </row>
    <row r="5">
      <c r="A5" s="2" t="n">
        <v>1</v>
      </c>
      <c r="B5" s="2" t="inlineStr">
        <is>
          <t>CRM, enquiry and quotation management</t>
        </is>
      </c>
      <c r="C5" s="4" t="n">
        <v>35000</v>
      </c>
    </row>
    <row r="6">
      <c r="A6" s="2" t="n">
        <v>2</v>
      </c>
      <c r="B6" s="2" t="inlineStr">
        <is>
          <t>Project and order management</t>
        </is>
      </c>
      <c r="C6" s="4" t="n">
        <v>25000</v>
      </c>
    </row>
    <row r="7">
      <c r="A7" s="2" t="n">
        <v>3</v>
      </c>
      <c r="B7" s="2" t="inlineStr">
        <is>
          <t>Document management and configurable numbering</t>
        </is>
      </c>
      <c r="C7" s="4" t="n">
        <v>35000</v>
      </c>
    </row>
    <row r="8">
      <c r="A8" s="2" t="n">
        <v>4</v>
      </c>
      <c r="B8" s="2" t="inlineStr">
        <is>
          <t>Basic engineering and BOM management</t>
        </is>
      </c>
      <c r="C8" s="4" t="n">
        <v>35000</v>
      </c>
    </row>
    <row r="9">
      <c r="A9" s="2" t="n">
        <v>5</v>
      </c>
      <c r="B9" s="2" t="inlineStr">
        <is>
          <t>Basic procurement and inventory management</t>
        </is>
      </c>
      <c r="C9" s="4" t="n">
        <v>40000</v>
      </c>
    </row>
    <row r="10">
      <c r="A10" s="2" t="n">
        <v>6</v>
      </c>
      <c r="B10" s="2" t="inlineStr">
        <is>
          <t>Manufacturing execution and job management</t>
        </is>
      </c>
      <c r="C10" s="4" t="n">
        <v>40000</v>
      </c>
    </row>
    <row r="11">
      <c r="A11" s="2" t="n">
        <v>7</v>
      </c>
      <c r="B11" s="2" t="inlineStr">
        <is>
          <t>Manufacturing traveller management</t>
        </is>
      </c>
      <c r="C11" s="4" t="n">
        <v>25000</v>
      </c>
    </row>
    <row r="12">
      <c r="A12" s="2" t="n">
        <v>8</v>
      </c>
      <c r="B12" s="2" t="inlineStr">
        <is>
          <t>Core quality management</t>
        </is>
      </c>
      <c r="C12" s="4" t="n">
        <v>30000</v>
      </c>
    </row>
    <row r="13">
      <c r="A13" s="2" t="n">
        <v>9</v>
      </c>
      <c r="B13" s="2" t="inlineStr">
        <is>
          <t>Operational dashboards and basic notifications</t>
        </is>
      </c>
      <c r="C13" s="4" t="n">
        <v>15000</v>
      </c>
    </row>
    <row r="14">
      <c r="B14" s="9" t="inlineStr">
        <is>
          <t>Module development subtotal</t>
        </is>
      </c>
      <c r="C14" s="12">
        <f>SUM(C5:C13)</f>
        <v/>
      </c>
    </row>
    <row r="15">
      <c r="B15" s="2" t="inlineStr">
        <is>
          <t>Requirements finalisation and workflow design</t>
        </is>
      </c>
      <c r="C15" s="4" t="n">
        <v>12000</v>
      </c>
    </row>
    <row r="16">
      <c r="B16" s="2" t="inlineStr">
        <is>
          <t>Application configuration and deployment</t>
        </is>
      </c>
      <c r="C16" s="4" t="n">
        <v>10000</v>
      </c>
    </row>
    <row r="17">
      <c r="B17" s="2" t="inlineStr">
        <is>
          <t>Integrated testing and UAT support</t>
        </is>
      </c>
      <c r="C17" s="4" t="n">
        <v>12000</v>
      </c>
    </row>
    <row r="18">
      <c r="B18" s="2" t="inlineStr">
        <is>
          <t>Documentation, training and handover</t>
        </is>
      </c>
      <c r="C18" s="4" t="n">
        <v>11000</v>
      </c>
    </row>
    <row r="19">
      <c r="B19" s="9" t="inlineStr">
        <is>
          <t>Implementation subtotal</t>
        </is>
      </c>
      <c r="C19" s="12">
        <f>SUM(C15:C18)</f>
        <v/>
      </c>
    </row>
    <row r="20">
      <c r="B20" s="9" t="inlineStr">
        <is>
          <t>TOTAL (ex GST)</t>
        </is>
      </c>
      <c r="C20" s="12">
        <f>C14+C19</f>
        <v/>
      </c>
    </row>
    <row r="22">
      <c r="B22" s="2" t="inlineStr">
        <is>
          <t>Agreed price (ex GST), input</t>
        </is>
      </c>
      <c r="C22" s="4" t="n">
        <v>325000</v>
      </c>
    </row>
    <row r="23">
      <c r="B23" s="2" t="inlineStr">
        <is>
          <t>Check: total minus agreed price (must be 0)</t>
        </is>
      </c>
      <c r="C23" s="8">
        <f>C20-C22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18" customWidth="1" min="3" max="3"/>
  </cols>
  <sheetData>
    <row r="1">
      <c r="A1" s="1" t="inlineStr">
        <is>
          <t>OPTION 2: COMPLETE INTEGRATED ERP</t>
        </is>
      </c>
    </row>
    <row r="2">
      <c r="A2" s="2" t="inlineStr">
        <is>
          <t>Source: clients/dsew/proposal/01-proposal.md. Rupees, excluding GST. Blue = input, black = formula.</t>
        </is>
      </c>
    </row>
    <row r="4">
      <c r="A4" s="6" t="inlineStr">
        <is>
          <t>#</t>
        </is>
      </c>
      <c r="B4" s="6" t="inlineStr">
        <is>
          <t>Module / deliverable</t>
        </is>
      </c>
      <c r="C4" s="6" t="inlineStr">
        <is>
          <t>Price (Rs, ex GST)</t>
        </is>
      </c>
    </row>
    <row r="5">
      <c r="A5" s="2" t="n">
        <v>1</v>
      </c>
      <c r="B5" s="2" t="inlineStr">
        <is>
          <t>CRM, enquiry, quotation and sales order management</t>
        </is>
      </c>
      <c r="C5" s="4" t="n">
        <v>30000</v>
      </c>
    </row>
    <row r="6">
      <c r="A6" s="2" t="n">
        <v>2</v>
      </c>
      <c r="B6" s="2" t="inlineStr">
        <is>
          <t>Advanced project management</t>
        </is>
      </c>
      <c r="C6" s="4" t="n">
        <v>20000</v>
      </c>
    </row>
    <row r="7">
      <c r="A7" s="2" t="n">
        <v>3</v>
      </c>
      <c r="B7" s="2" t="inlineStr">
        <is>
          <t>Engineering and product lifecycle management</t>
        </is>
      </c>
      <c r="C7" s="4" t="n">
        <v>30000</v>
      </c>
    </row>
    <row r="8">
      <c r="A8" s="2" t="n">
        <v>4</v>
      </c>
      <c r="B8" s="2" t="inlineStr">
        <is>
          <t>Document management and controlled document workflows</t>
        </is>
      </c>
      <c r="C8" s="4" t="n">
        <v>25000</v>
      </c>
    </row>
    <row r="9">
      <c r="A9" s="2" t="n">
        <v>5</v>
      </c>
      <c r="B9" s="2" t="inlineStr">
        <is>
          <t>Manufacturing execution</t>
        </is>
      </c>
      <c r="C9" s="4" t="n">
        <v>30000</v>
      </c>
    </row>
    <row r="10">
      <c r="A10" s="2" t="n">
        <v>6</v>
      </c>
      <c r="B10" s="2" t="inlineStr">
        <is>
          <t>Manufacturing travellers and process documentation</t>
        </is>
      </c>
      <c r="C10" s="4" t="n">
        <v>15000</v>
      </c>
    </row>
    <row r="11">
      <c r="A11" s="2" t="n">
        <v>7</v>
      </c>
      <c r="B11" s="2" t="inlineStr">
        <is>
          <t>Quality management system</t>
        </is>
      </c>
      <c r="C11" s="4" t="n">
        <v>25000</v>
      </c>
    </row>
    <row r="12">
      <c r="A12" s="2" t="n">
        <v>8</v>
      </c>
      <c r="B12" s="2" t="inlineStr">
        <is>
          <t>Barcode, QR code and traceability</t>
        </is>
      </c>
      <c r="C12" s="4" t="n">
        <v>15000</v>
      </c>
    </row>
    <row r="13">
      <c r="A13" s="2" t="n">
        <v>9</v>
      </c>
      <c r="B13" s="2" t="inlineStr">
        <is>
          <t>Procurement and vendor management</t>
        </is>
      </c>
      <c r="C13" s="4" t="n">
        <v>20000</v>
      </c>
    </row>
    <row r="14">
      <c r="A14" s="2" t="n">
        <v>10</v>
      </c>
      <c r="B14" s="2" t="inlineStr">
        <is>
          <t>Inventory and warehouse management</t>
        </is>
      </c>
      <c r="C14" s="4" t="n">
        <v>20000</v>
      </c>
    </row>
    <row r="15">
      <c r="A15" s="2" t="n">
        <v>11</v>
      </c>
      <c r="B15" s="2" t="inlineStr">
        <is>
          <t>Production planning and basic MRP</t>
        </is>
      </c>
      <c r="C15" s="4" t="n">
        <v>20000</v>
      </c>
    </row>
    <row r="16">
      <c r="A16" s="2" t="n">
        <v>12</v>
      </c>
      <c r="B16" s="2" t="inlineStr">
        <is>
          <t>Testing and equipment management</t>
        </is>
      </c>
      <c r="C16" s="4" t="n">
        <v>15000</v>
      </c>
    </row>
    <row r="17">
      <c r="A17" s="2" t="n">
        <v>13</v>
      </c>
      <c r="B17" s="2" t="inlineStr">
        <is>
          <t>Finance and accounting, built inside Verity</t>
        </is>
      </c>
      <c r="C17" s="4" t="n">
        <v>20000</v>
      </c>
    </row>
    <row r="18">
      <c r="A18" s="2" t="n">
        <v>14</v>
      </c>
      <c r="B18" s="2" t="inlineStr">
        <is>
          <t>HR and payroll management</t>
        </is>
      </c>
      <c r="C18" s="4" t="n">
        <v>15000</v>
      </c>
    </row>
    <row r="19">
      <c r="A19" s="2" t="n">
        <v>15</v>
      </c>
      <c r="B19" s="2" t="inlineStr">
        <is>
          <t>Dispatch and logistics</t>
        </is>
      </c>
      <c r="C19" s="4" t="n">
        <v>10000</v>
      </c>
    </row>
    <row r="20">
      <c r="A20" s="2" t="n">
        <v>16</v>
      </c>
      <c r="B20" s="2" t="inlineStr">
        <is>
          <t>Contracts, compliance and risk</t>
        </is>
      </c>
      <c r="C20" s="4" t="n">
        <v>10000</v>
      </c>
    </row>
    <row r="21">
      <c r="A21" s="2" t="n">
        <v>17</v>
      </c>
      <c r="B21" s="2" t="inlineStr">
        <is>
          <t>Management dashboards and business intelligence</t>
        </is>
      </c>
      <c r="C21" s="4" t="n">
        <v>15000</v>
      </c>
    </row>
    <row r="22">
      <c r="A22" s="2" t="n">
        <v>18</v>
      </c>
      <c r="B22" s="2" t="inlineStr">
        <is>
          <t>Notifications and workflow automation</t>
        </is>
      </c>
      <c r="C22" s="4" t="n">
        <v>15000</v>
      </c>
    </row>
    <row r="23">
      <c r="A23" s="2" t="n">
        <v>19</v>
      </c>
      <c r="B23" s="2" t="inlineStr">
        <is>
          <t>AI, documented use cases only (section 9)</t>
        </is>
      </c>
      <c r="C23" s="4" t="n">
        <v>15000</v>
      </c>
    </row>
    <row r="24">
      <c r="B24" s="9" t="inlineStr">
        <is>
          <t>Module development subtotal</t>
        </is>
      </c>
      <c r="C24" s="12">
        <f>SUM(C5:C23)</f>
        <v/>
      </c>
    </row>
    <row r="25">
      <c r="B25" s="2" t="inlineStr">
        <is>
          <t>Requirements analysis and solution architecture</t>
        </is>
      </c>
      <c r="C25" s="4" t="n">
        <v>25000</v>
      </c>
    </row>
    <row r="26">
      <c r="B26" s="2" t="inlineStr">
        <is>
          <t>UI/UX design and workflow configuration</t>
        </is>
      </c>
      <c r="C26" s="4" t="n">
        <v>20000</v>
      </c>
    </row>
    <row r="27">
      <c r="B27" s="2" t="inlineStr">
        <is>
          <t>Cross-module integration and deployment</t>
        </is>
      </c>
      <c r="C27" s="4" t="n">
        <v>25000</v>
      </c>
    </row>
    <row r="28">
      <c r="B28" s="2" t="inlineStr">
        <is>
          <t>Integrated testing and UAT support</t>
        </is>
      </c>
      <c r="C28" s="4" t="n">
        <v>20000</v>
      </c>
    </row>
    <row r="29">
      <c r="B29" s="2" t="inlineStr">
        <is>
          <t>Documentation, training and knowledge transfer</t>
        </is>
      </c>
      <c r="C29" s="4" t="n">
        <v>15000</v>
      </c>
    </row>
    <row r="30">
      <c r="B30" s="9" t="inlineStr">
        <is>
          <t>Implementation subtotal</t>
        </is>
      </c>
      <c r="C30" s="12">
        <f>SUM(C25:C29)</f>
        <v/>
      </c>
    </row>
    <row r="31">
      <c r="B31" s="2" t="inlineStr">
        <is>
          <t>Cross-module dependency coordination and project governance</t>
        </is>
      </c>
      <c r="C31" s="4" t="n">
        <v>10000</v>
      </c>
    </row>
    <row r="32">
      <c r="B32" s="9" t="inlineStr">
        <is>
          <t>TOTAL (ex GST)</t>
        </is>
      </c>
      <c r="C32" s="12">
        <f>C24+C30+C31</f>
        <v/>
      </c>
    </row>
    <row r="34">
      <c r="B34" s="2" t="inlineStr">
        <is>
          <t>Agreed price (ex GST), input</t>
        </is>
      </c>
      <c r="C34" s="4" t="n">
        <v>480000</v>
      </c>
    </row>
    <row r="35">
      <c r="B35" s="2" t="inlineStr">
        <is>
          <t>Check: total minus agreed price (must be 0)</t>
        </is>
      </c>
      <c r="C35" s="8">
        <f>C32-C34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8" customWidth="1" min="4" max="4"/>
    <col width="70" customWidth="1" min="5" max="5"/>
  </cols>
  <sheetData>
    <row r="1">
      <c r="A1" s="1" t="inlineStr">
        <is>
          <t>OPTION 3: COMPLETE ERP IN FOUR PHASES (ALTERNATIVE DELIVERY OF OPTION 2)</t>
        </is>
      </c>
    </row>
    <row r="2">
      <c r="A2" s="2" t="inlineStr">
        <is>
          <t>Same total as Option 2. Weeks are estimates across an 8 to 12 week window, not fixed deadlines.</t>
        </is>
      </c>
    </row>
    <row r="4">
      <c r="A4" s="6" t="inlineStr">
        <is>
          <t>Phase</t>
        </is>
      </c>
      <c r="B4" s="6" t="inlineStr">
        <is>
          <t>Weeks at 8-week pace</t>
        </is>
      </c>
      <c r="C4" s="6" t="inlineStr">
        <is>
          <t>Weeks at 12-week pace</t>
        </is>
      </c>
      <c r="D4" s="6" t="inlineStr">
        <is>
          <t>Price (Rs, ex GST)</t>
        </is>
      </c>
      <c r="E4" s="6" t="inlineStr">
        <is>
          <t>Delivered and accepted when</t>
        </is>
      </c>
    </row>
    <row r="5" ht="42" customHeight="1">
      <c r="A5" s="2" t="inlineStr">
        <is>
          <t>1. Foundation and commercial core</t>
        </is>
      </c>
      <c r="B5" s="2" t="inlineStr">
        <is>
          <t>1-2</t>
        </is>
      </c>
      <c r="C5" s="2" t="inlineStr">
        <is>
          <t>1-3</t>
        </is>
      </c>
      <c r="D5" s="4" t="n">
        <v>120000</v>
      </c>
      <c r="E5" s="13" t="inlineStr">
        <is>
          <t>DSEW can create linked customer, enquiry, quotation, sales order and project records with controlled document numbering, and initial engineering masters and BOM</t>
        </is>
      </c>
    </row>
    <row r="6" ht="42" customHeight="1">
      <c r="A6" s="2" t="inlineStr">
        <is>
          <t>2. Supply chain and manufacturing core</t>
        </is>
      </c>
      <c r="B6" s="2" t="inlineStr">
        <is>
          <t>3-4</t>
        </is>
      </c>
      <c r="C6" s="2" t="inlineStr">
        <is>
          <t>4-6</t>
        </is>
      </c>
      <c r="D6" s="4" t="n">
        <v>135000</v>
      </c>
      <c r="E6" s="13" t="inlineStr">
        <is>
          <t>A BOM drives material requirements and availability for a manufacturing job; purchases, receipts and stock movements are recorded; engineering release works</t>
        </is>
      </c>
    </row>
    <row r="7" ht="42" customHeight="1">
      <c r="A7" s="2" t="inlineStr">
        <is>
          <t>3. Quality, traceability and operational controls</t>
        </is>
      </c>
      <c r="B7" s="2" t="inlineStr">
        <is>
          <t>5-6</t>
        </is>
      </c>
      <c r="C7" s="2" t="inlineStr">
        <is>
          <t>7-9</t>
        </is>
      </c>
      <c r="D7" s="4" t="n">
        <v>130000</v>
      </c>
      <c r="E7" s="13" t="inlineStr">
        <is>
          <t>Operations, travellers and quality inspections are linked; agreed traceability, testing, dispatch and contract controls work; failed mandatory checks block release</t>
        </is>
      </c>
    </row>
    <row r="8" ht="42" customHeight="1">
      <c r="A8" s="2" t="inlineStr">
        <is>
          <t>4. Business modules, validation and go-live</t>
        </is>
      </c>
      <c r="B8" s="2" t="inlineStr">
        <is>
          <t>7-8</t>
        </is>
      </c>
      <c r="C8" s="2" t="inlineStr">
        <is>
          <t>10-12</t>
        </is>
      </c>
      <c r="D8" s="4" t="n">
        <v>95000</v>
      </c>
      <c r="E8" s="13" t="inlineStr">
        <is>
          <t>Finance, HR and payroll, dashboards, notifications and the documented AI use cases work; end-to-end UAT passes; deployed, trained and handed over</t>
        </is>
      </c>
    </row>
    <row r="9">
      <c r="A9" s="9" t="inlineStr">
        <is>
          <t>TOTAL (ex GST)</t>
        </is>
      </c>
      <c r="D9" s="12">
        <f>SUM(D5:D8)</f>
        <v/>
      </c>
    </row>
    <row r="11">
      <c r="A11" s="2" t="inlineStr">
        <is>
          <t>Check: phases total minus Complete ERP total (must be 0)</t>
        </is>
      </c>
      <c r="D11" s="7">
        <f>D9-'Complete Pricing'!C32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0" customWidth="1" min="2" max="2"/>
    <col width="18" customWidth="1" min="3" max="3"/>
    <col width="14" customWidth="1" min="4" max="4"/>
    <col width="18" customWidth="1" min="5" max="5"/>
    <col width="18" customWidth="1" min="6" max="6"/>
    <col width="14" customWidth="1" min="7" max="7"/>
    <col width="18" customWidth="1" min="8" max="8"/>
  </cols>
  <sheetData>
    <row r="1">
      <c r="A1" s="1" t="inlineStr">
        <is>
          <t>PAYMENT MILESTONES (30/30/30/10), INVOICES PAYABLE WITHIN 7 CALENDAR DAYS</t>
        </is>
      </c>
    </row>
    <row r="2">
      <c r="A2" s="2" t="inlineStr">
        <is>
          <t>Same structure for Options 1, 2 and 3. GST added to each invoice. 5 business day review window per milestone.</t>
        </is>
      </c>
    </row>
    <row r="4">
      <c r="A4" s="6" t="inlineStr">
        <is>
          <t>Milestone</t>
        </is>
      </c>
      <c r="B4" s="6" t="inlineStr">
        <is>
          <t>Share</t>
        </is>
      </c>
      <c r="C4" s="6" t="inlineStr">
        <is>
          <t>Option 1 ex GST</t>
        </is>
      </c>
      <c r="D4" s="6" t="inlineStr">
        <is>
          <t>Option 1 GST</t>
        </is>
      </c>
      <c r="E4" s="6" t="inlineStr">
        <is>
          <t>Option 1 incl GST</t>
        </is>
      </c>
      <c r="F4" s="6" t="inlineStr">
        <is>
          <t>Option 2/3 ex GST</t>
        </is>
      </c>
      <c r="G4" s="6" t="inlineStr">
        <is>
          <t>Option 2/3 GST</t>
        </is>
      </c>
      <c r="H4" s="6" t="inlineStr">
        <is>
          <t>Option 2/3 incl GST</t>
        </is>
      </c>
    </row>
    <row r="5">
      <c r="A5" s="13" t="inlineStr">
        <is>
          <t>1. Kickoff: signed order, product owner named, requirements signed off</t>
        </is>
      </c>
      <c r="B5" s="3" t="n">
        <v>0.3</v>
      </c>
      <c r="C5" s="7">
        <f>ROUND(Summary!$B$9*B5,0)</f>
        <v/>
      </c>
      <c r="D5" s="8">
        <f>ROUND(C5*Summary!$B$4,0)</f>
        <v/>
      </c>
      <c r="E5" s="8">
        <f>C5+D5</f>
        <v/>
      </c>
      <c r="F5" s="7">
        <f>ROUND(Summary!$C$9*B5,0)</f>
        <v/>
      </c>
      <c r="G5" s="8">
        <f>ROUND(F5*Summary!$B$4,0)</f>
        <v/>
      </c>
      <c r="H5" s="8">
        <f>F5+G5</f>
        <v/>
      </c>
    </row>
    <row r="6">
      <c r="A6" s="13" t="inlineStr">
        <is>
          <t>2. Core workflow demonstration accepted</t>
        </is>
      </c>
      <c r="B6" s="3" t="n">
        <v>0.3</v>
      </c>
      <c r="C6" s="7">
        <f>ROUND(Summary!$B$9*B6,0)</f>
        <v/>
      </c>
      <c r="D6" s="8">
        <f>ROUND(C6*Summary!$B$4,0)</f>
        <v/>
      </c>
      <c r="E6" s="8">
        <f>C6+D6</f>
        <v/>
      </c>
      <c r="F6" s="7">
        <f>ROUND(Summary!$C$9*B6,0)</f>
        <v/>
      </c>
      <c r="G6" s="8">
        <f>ROUND(F6*Summary!$B$4,0)</f>
        <v/>
      </c>
      <c r="H6" s="8">
        <f>F6+G6</f>
        <v/>
      </c>
    </row>
    <row r="7">
      <c r="A7" s="13" t="inlineStr">
        <is>
          <t>3. Integrated testing and UAT build delivered</t>
        </is>
      </c>
      <c r="B7" s="3" t="n">
        <v>0.3</v>
      </c>
      <c r="C7" s="7">
        <f>ROUND(Summary!$B$9*B7,0)</f>
        <v/>
      </c>
      <c r="D7" s="8">
        <f>ROUND(C7*Summary!$B$4,0)</f>
        <v/>
      </c>
      <c r="E7" s="8">
        <f>C7+D7</f>
        <v/>
      </c>
      <c r="F7" s="7">
        <f>ROUND(Summary!$C$9*B7,0)</f>
        <v/>
      </c>
      <c r="G7" s="8">
        <f>ROUND(F7*Summary!$B$4,0)</f>
        <v/>
      </c>
      <c r="H7" s="8">
        <f>F7+G7</f>
        <v/>
      </c>
    </row>
    <row r="8">
      <c r="A8" s="13" t="inlineStr">
        <is>
          <t>4. Handover and go-live: UAT signed off, gates passed, handover signed</t>
        </is>
      </c>
      <c r="B8" s="3" t="n">
        <v>0.1</v>
      </c>
      <c r="C8" s="7">
        <f>ROUND(Summary!$B$9*B8,0)</f>
        <v/>
      </c>
      <c r="D8" s="8">
        <f>ROUND(C8*Summary!$B$4,0)</f>
        <v/>
      </c>
      <c r="E8" s="8">
        <f>C8+D8</f>
        <v/>
      </c>
      <c r="F8" s="7">
        <f>ROUND(Summary!$C$9*B8,0)</f>
        <v/>
      </c>
      <c r="G8" s="8">
        <f>ROUND(F8*Summary!$B$4,0)</f>
        <v/>
      </c>
      <c r="H8" s="8">
        <f>F8+G8</f>
        <v/>
      </c>
    </row>
    <row r="9">
      <c r="A9" s="9" t="inlineStr">
        <is>
          <t>Total</t>
        </is>
      </c>
      <c r="B9" s="14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2">
        <f>SUM(G5:G8)</f>
        <v/>
      </c>
      <c r="H9" s="12">
        <f>SUM(H5:H8)</f>
        <v/>
      </c>
    </row>
    <row r="11">
      <c r="A11" s="2" t="inlineStr">
        <is>
          <t>Check: milestone totals minus fees (must be 0)</t>
        </is>
      </c>
      <c r="C11" s="7">
        <f>C9-Summary!B9</f>
        <v/>
      </c>
      <c r="F11" s="7">
        <f>F9-Summary!C9</f>
        <v/>
      </c>
    </row>
    <row r="12">
      <c r="A12" s="2" t="inlineStr">
        <is>
          <t>Check: GST on milestones minus GST on fee (expect 0)</t>
        </is>
      </c>
      <c r="D12" s="7">
        <f>D9-Summary!B10</f>
        <v/>
      </c>
      <c r="G12" s="7">
        <f>G9-Summary!C10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6" customWidth="1" min="2" max="2"/>
    <col width="70" customWidth="1" min="3" max="3"/>
  </cols>
  <sheetData>
    <row r="1">
      <c r="A1" s="1" t="inlineStr">
        <is>
          <t>12-MONTH BUNDLED FEE: WARRANTY, TESTING/UAT ASSISTANCE, ROUTINE MAINTENANCE</t>
        </is>
      </c>
    </row>
    <row r="3">
      <c r="A3" s="6" t="inlineStr">
        <is>
          <t>Item</t>
        </is>
      </c>
      <c r="B3" s="6" t="inlineStr">
        <is>
          <t>Value</t>
        </is>
      </c>
      <c r="C3" s="6" t="inlineStr">
        <is>
          <t>Note</t>
        </is>
      </c>
    </row>
    <row r="4">
      <c r="A4" s="2" t="inlineStr">
        <is>
          <t>Monthly fee (ex GST)</t>
        </is>
      </c>
      <c r="B4" s="7">
        <f>Summary!B5</f>
        <v/>
      </c>
      <c r="C4" s="13" t="inlineStr">
        <is>
          <t>Both options. Replaces a separate warranty, testing-support charge and maintenance contract.</t>
        </is>
      </c>
    </row>
    <row r="5">
      <c r="A5" s="2" t="inlineStr">
        <is>
          <t>Months</t>
        </is>
      </c>
      <c r="B5" s="7">
        <f>Summary!B6</f>
        <v/>
      </c>
      <c r="C5" s="13" t="inlineStr">
        <is>
          <t>Starts at go-live (gates passed, handover signed), not at kickoff.</t>
        </is>
      </c>
    </row>
    <row r="6">
      <c r="A6" s="2" t="inlineStr">
        <is>
          <t>Total (ex GST)</t>
        </is>
      </c>
      <c r="B6" s="8">
        <f>B4*B5</f>
        <v/>
      </c>
      <c r="C6" s="13" t="inlineStr"/>
    </row>
    <row r="7">
      <c r="A7" s="2" t="inlineStr">
        <is>
          <t>GST</t>
        </is>
      </c>
      <c r="B7" s="7">
        <f>ROUND(B6*Summary!B4,0)</f>
        <v/>
      </c>
      <c r="C7" s="13" t="inlineStr"/>
    </row>
    <row r="8">
      <c r="A8" s="2" t="inlineStr">
        <is>
          <t>Total including GST</t>
        </is>
      </c>
      <c r="B8" s="8">
        <f>B6+B7</f>
        <v/>
      </c>
      <c r="C8" s="13" t="inlineStr"/>
    </row>
    <row r="9">
      <c r="A9" s="2" t="inlineStr">
        <is>
          <t>Monthly fee including GST</t>
        </is>
      </c>
      <c r="B9" s="7">
        <f>ROUND(B4*(1+Summary!B4),0)</f>
        <v/>
      </c>
      <c r="C9" s="13" t="inlineStr"/>
    </row>
    <row r="12" ht="42" customHeight="1">
      <c r="A12" s="9" t="inlineStr">
        <is>
          <t>Billing</t>
        </is>
      </c>
      <c r="B12" s="13" t="inlineStr">
        <is>
          <t>12 monthly invoices, in advance on the go-live date and each month after; payable within 7 calendar days; GST added.</t>
        </is>
      </c>
    </row>
    <row r="13" ht="42" customHeight="1">
      <c r="A13" s="9" t="inlineStr">
        <is>
          <t>Covered</t>
        </is>
      </c>
      <c r="B13" s="13" t="inlineStr">
        <is>
          <t>Defect warranty against the signed requirements; testing and UAT assistance; routine maintenance (tested releases, backup and restore help, administrator guidance).</t>
        </is>
      </c>
    </row>
    <row r="14" ht="42" customHeight="1">
      <c r="A14" s="9" t="inlineStr">
        <is>
          <t>Not covered (quoted separately, written approval)</t>
        </is>
      </c>
      <c r="B14" s="13" t="inlineStr">
        <is>
          <t>New features, workflow changes, additional integrations, new product families/reports/formats/users/sites, data cleansing, hardware or network faults, on-site work and travel.</t>
        </is>
      </c>
    </row>
    <row r="15" ht="42" customHeight="1">
      <c r="A15" s="9" t="inlineStr">
        <is>
          <t>Service terms</t>
        </is>
      </c>
      <c r="B15" s="13" t="inlineStr">
        <is>
          <t>Remote, email and phone; hours, included time and response targets are bracketed company decisions in the proposal until confirmed.</t>
        </is>
      </c>
    </row>
    <row r="16" ht="42" customHeight="1">
      <c r="A16" s="9" t="inlineStr">
        <is>
          <t>After 12 months</t>
        </is>
      </c>
      <c r="B16" s="13" t="inlineStr">
        <is>
          <t>No warranty, testing support or maintenance included; any support needs a separately agreed renewal in writing.</t>
        </is>
      </c>
    </row>
  </sheetData>
  <mergeCells count="5">
    <mergeCell ref="B13:C13"/>
    <mergeCell ref="B16:C16"/>
    <mergeCell ref="B15:C15"/>
    <mergeCell ref="B14:C14"/>
    <mergeCell ref="B12:C1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70" customWidth="1" min="3" max="3"/>
  </cols>
  <sheetData>
    <row r="1">
      <c r="A1" s="1" t="inlineStr">
        <is>
          <t>MVP VERSUS COMPLETE, MODULE BY MODULE</t>
        </is>
      </c>
    </row>
    <row r="3">
      <c r="A3" s="6" t="inlineStr">
        <is>
          <t>Module</t>
        </is>
      </c>
      <c r="B3" s="6" t="inlineStr">
        <is>
          <t>Option 1: MVP</t>
        </is>
      </c>
      <c r="C3" s="6" t="inlineStr">
        <is>
          <t>Option 2: Complete</t>
        </is>
      </c>
    </row>
    <row r="4" ht="32" customHeight="1">
      <c r="A4" s="13" t="inlineStr">
        <is>
          <t>CRM</t>
        </is>
      </c>
      <c r="B4" s="13" t="inlineStr">
        <is>
          <t>Customer records, enquiries, follow-ups</t>
        </is>
      </c>
      <c r="C4" s="13" t="inlineStr">
        <is>
          <t>Full pipeline, RFQ and tender tracking, correspondence, complaints, advanced history</t>
        </is>
      </c>
    </row>
    <row r="5" ht="32" customHeight="1">
      <c r="A5" s="13" t="inlineStr">
        <is>
          <t>Project management</t>
        </is>
      </c>
      <c r="B5" s="13" t="inlineStr">
        <is>
          <t>Projects, milestones, tasks, deadlines, status</t>
        </is>
      </c>
      <c r="C5" s="13" t="inlineStr">
        <is>
          <t>Dependencies, WBS, budgets, risk and change management, advanced reporting</t>
        </is>
      </c>
    </row>
    <row r="6" ht="32" customHeight="1">
      <c r="A6" s="13" t="inlineStr">
        <is>
          <t>Enquiry, quotation, sales</t>
        </is>
      </c>
      <c r="B6" s="13" t="inlineStr">
        <is>
          <t>Quotations, basic costing, revisions, order confirmation</t>
        </is>
      </c>
      <c r="C6" s="13" t="inlineStr">
        <is>
          <t>Advanced costing, alternative offers, PO comparison, sales orders, retention, LDs, milestone billing</t>
        </is>
      </c>
    </row>
    <row r="7" ht="32" customHeight="1">
      <c r="A7" s="13" t="inlineStr">
        <is>
          <t>Engineering and PLM</t>
        </is>
      </c>
      <c r="B7" s="13" t="inlineStr">
        <is>
          <t>Product and component records, BOMs, drawing attachments, revisions</t>
        </is>
      </c>
      <c r="C7" s="13" t="inlineStr">
        <is>
          <t>Multi-level BOMs, engineering change orders, formal design approvals</t>
        </is>
      </c>
    </row>
    <row r="8" ht="32" customHeight="1">
      <c r="A8" s="13" t="inlineStr">
        <is>
          <t>Document management</t>
        </is>
      </c>
      <c r="B8" s="13" t="inlineStr">
        <is>
          <t>Repository, numbering, revision history, search, basic approvals</t>
        </is>
      </c>
      <c r="C8" s="13" t="inlineStr">
        <is>
          <t>Full controlled-document lifecycle, transmittals, acknowledgements, advanced audit and distribution</t>
        </is>
      </c>
    </row>
    <row r="9" ht="32" customHeight="1">
      <c r="A9" s="13" t="inlineStr">
        <is>
          <t>Manufacturing</t>
        </is>
      </c>
      <c r="B9" s="13" t="inlineStr">
        <is>
          <t>Job cards, operation sequences, material allocation, status</t>
        </is>
      </c>
      <c r="C9" s="13" t="inlineStr">
        <is>
          <t>Advanced routing, work-centre scheduling, labour tracking, WIP, subcontracting, bottleneck analytics</t>
        </is>
      </c>
    </row>
    <row r="10" ht="32" customHeight="1">
      <c r="A10" s="13" t="inlineStr">
        <is>
          <t>Travellers</t>
        </is>
      </c>
      <c r="B10" s="13" t="inlineStr">
        <is>
          <t>Configurable travellers, checkpoints, sign-offs</t>
        </is>
      </c>
      <c r="C10" s="13" t="inlineStr">
        <is>
          <t>BOM-driven travellers, QR codes, full genealogy, customer-facing formats</t>
        </is>
      </c>
    </row>
    <row r="11" ht="32" customHeight="1">
      <c r="A11" s="13" t="inlineStr">
        <is>
          <t>Quality</t>
        </is>
      </c>
      <c r="B11" s="13" t="inlineStr">
        <is>
          <t>Incoming, in-process and final inspection, NCRs, quality release</t>
        </is>
      </c>
      <c r="C11" s="13" t="inlineStr">
        <is>
          <t>QAP/ITP, CAPA, audits, calibration, supplier quality, analytics</t>
        </is>
      </c>
    </row>
    <row r="12" ht="32" customHeight="1">
      <c r="A12" s="13" t="inlineStr">
        <is>
          <t>Barcode, QR, traceability</t>
        </is>
      </c>
      <c r="B12" s="13" t="inlineStr">
        <is>
          <t>Basic material and job references, manual tracking</t>
        </is>
      </c>
      <c r="C12" s="13" t="inlineStr">
        <is>
          <t>Barcode scanning, batch, heat and serial tracking, product genealogy</t>
        </is>
      </c>
    </row>
    <row r="13" ht="32" customHeight="1">
      <c r="A13" s="13" t="inlineStr">
        <is>
          <t>Procurement</t>
        </is>
      </c>
      <c r="B13" s="13" t="inlineStr">
        <is>
          <t>Suppliers, purchase requests, receipts, purchasing</t>
        </is>
      </c>
      <c r="C13" s="13" t="inlineStr">
        <is>
          <t>Approval workflows, RFQs, comparative statements, supplier performance, subcontracting</t>
        </is>
      </c>
    </row>
    <row r="14" ht="32" customHeight="1">
      <c r="A14" s="13" t="inlineStr">
        <is>
          <t>Inventory</t>
        </is>
      </c>
      <c r="B14" s="13" t="inlineStr">
        <is>
          <t>Stock balances, material issues, reservations, shortages</t>
        </is>
      </c>
      <c r="C14" s="13" t="inlineStr">
        <is>
          <t>Multi-warehouse and bins, valuation, reconciliation, ageing, advanced traceability</t>
        </is>
      </c>
    </row>
    <row r="15" ht="32" customHeight="1">
      <c r="A15" s="13" t="inlineStr">
        <is>
          <t>Planning and MRP</t>
        </is>
      </c>
      <c r="B15" s="13" t="inlineStr">
        <is>
          <t>Job priorities, manual material planning</t>
        </is>
      </c>
      <c r="C15" s="13" t="inlineStr">
        <is>
          <t>Automated BOM-based MRP, capacity planning, scheduling, shortage recommendations</t>
        </is>
      </c>
    </row>
    <row r="16" ht="32" customHeight="1">
      <c r="A16" s="13" t="inlineStr">
        <is>
          <t>Testing and equipment</t>
        </is>
      </c>
      <c r="B16" s="13" t="inlineStr">
        <is>
          <t>Basic test records and attachments</t>
        </is>
      </c>
      <c r="C16" s="13" t="inlineStr">
        <is>
          <t>Dedicated test workflows, automated reports, calibration, preventive maintenance</t>
        </is>
      </c>
    </row>
    <row r="17" ht="32" customHeight="1">
      <c r="A17" s="13" t="inlineStr">
        <is>
          <t>Finance and accounting</t>
        </is>
      </c>
      <c r="B17" s="13" t="inlineStr">
        <is>
          <t>None</t>
        </is>
      </c>
      <c r="C17" s="13" t="inlineStr">
        <is>
          <t>Invoicing and payment status, GST support, reconciliation, receivables and payables, profitability, all inside Verity</t>
        </is>
      </c>
    </row>
    <row r="18" ht="32" customHeight="1">
      <c r="A18" s="13" t="inlineStr">
        <is>
          <t>HR and payroll</t>
        </is>
      </c>
      <c r="B18" s="13" t="inlineStr">
        <is>
          <t>None</t>
        </is>
      </c>
      <c r="C18" s="13" t="inlineStr">
        <is>
          <t>Employees, attendance, leave, payroll, statutory calculations, competency tracking</t>
        </is>
      </c>
    </row>
    <row r="19" ht="32" customHeight="1">
      <c r="A19" s="13" t="inlineStr">
        <is>
          <t>Dispatch</t>
        </is>
      </c>
      <c r="B19" s="13" t="inlineStr">
        <is>
          <t>Delivery readiness tracking</t>
        </is>
      </c>
      <c r="C19" s="13" t="inlineStr">
        <is>
          <t>Dispatch planning, packing lists, challans, shipment tracking, partial deliveries</t>
        </is>
      </c>
    </row>
    <row r="20" ht="32" customHeight="1">
      <c r="A20" s="13" t="inlineStr">
        <is>
          <t>Contracts and risk</t>
        </is>
      </c>
      <c r="B20" s="13" t="inlineStr">
        <is>
          <t>Basic project and order references</t>
        </is>
      </c>
      <c r="C20" s="13" t="inlineStr">
        <is>
          <t>Obligations, bank guarantees, LD exposure, insurance and NDA tracking, risk registers</t>
        </is>
      </c>
    </row>
    <row r="21" ht="32" customHeight="1">
      <c r="A21" s="13" t="inlineStr">
        <is>
          <t>Dashboards</t>
        </is>
      </c>
      <c r="B21" s="13" t="inlineStr">
        <is>
          <t>Operational dashboards for the included workflows</t>
        </is>
      </c>
      <c r="C21" s="13" t="inlineStr">
        <is>
          <t>Cross-department KPIs, profitability, ageing, cash flow, supplier and resource analytics</t>
        </is>
      </c>
    </row>
    <row r="22" ht="32" customHeight="1">
      <c r="A22" s="13" t="inlineStr">
        <is>
          <t>Notifications</t>
        </is>
      </c>
      <c r="B22" s="13" t="inlineStr">
        <is>
          <t>Basic reminders and alerts</t>
        </is>
      </c>
      <c r="C22" s="13" t="inlineStr">
        <is>
          <t>Configurable workflow engine, escalations, cross-module triggers, automated documents</t>
        </is>
      </c>
    </row>
    <row r="23" ht="32" customHeight="1">
      <c r="A23" s="13" t="inlineStr">
        <is>
          <t>AI</t>
        </is>
      </c>
      <c r="B23" s="13" t="inlineStr">
        <is>
          <t>Not included</t>
        </is>
      </c>
      <c r="C23" s="13" t="inlineStr">
        <is>
          <t>Documented use cases only (section 9)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2026-10-19T13:01:47Z</dcterms:created>
  <dcterms:modified xmlns:dcterms="http://purl.org/dc/terms/" xmlns:xsi="http://www.w3.org/2001/XMLSchema-instance" xsi:type="dcterms:W3CDTF">2026-10-19T13:01:47Z</dcterms:modified>
</cp:coreProperties>
</file>